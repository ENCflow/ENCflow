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\Desktop\"/>
    </mc:Choice>
  </mc:AlternateContent>
  <xr:revisionPtr revIDLastSave="0" documentId="8_{A55D89BE-AF0C-4BA2-AE25-F2BC63ED4757}" xr6:coauthVersionLast="47" xr6:coauthVersionMax="47" xr10:uidLastSave="{00000000-0000-0000-0000-000000000000}"/>
  <bookViews>
    <workbookView xWindow="-96" yWindow="-96" windowWidth="23232" windowHeight="13872" xr2:uid="{30F278B3-E036-4CAE-B201-7046BE112440}"/>
  </bookViews>
  <sheets>
    <sheet name="outlet" sheetId="1" r:id="rId1"/>
    <sheet name="hillside" sheetId="2" r:id="rId2"/>
    <sheet name="Sheet2" sheetId="3" r:id="rId3"/>
    <sheet name="Sheet3" sheetId="4" r:id="rId4"/>
  </sheets>
  <calcPr calcId="0"/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" i="4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1" i="3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outlet!$A$1:$A$32</c:f>
              <c:numCache>
                <c:formatCode>General</c:formatCode>
                <c:ptCount val="32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</c:numCache>
            </c:numRef>
          </c:xVal>
          <c:yVal>
            <c:numRef>
              <c:f>outlet!$C$1:$C$32</c:f>
              <c:numCache>
                <c:formatCode>General</c:formatCode>
                <c:ptCount val="32"/>
                <c:pt idx="0">
                  <c:v>0</c:v>
                </c:pt>
                <c:pt idx="1">
                  <c:v>-6.6173518388854501E-4</c:v>
                </c:pt>
                <c:pt idx="2">
                  <c:v>-1.3764091824881701E-3</c:v>
                </c:pt>
                <c:pt idx="3">
                  <c:v>-2.0017489312628501E-3</c:v>
                </c:pt>
                <c:pt idx="4">
                  <c:v>1.6999802733258899E-2</c:v>
                </c:pt>
                <c:pt idx="5">
                  <c:v>3.60906886476055E-2</c:v>
                </c:pt>
                <c:pt idx="6">
                  <c:v>6.9983632850930705E-2</c:v>
                </c:pt>
                <c:pt idx="7">
                  <c:v>0.19289737337105201</c:v>
                </c:pt>
                <c:pt idx="8">
                  <c:v>0.34053084117826199</c:v>
                </c:pt>
                <c:pt idx="9">
                  <c:v>0.60187505450608203</c:v>
                </c:pt>
                <c:pt idx="10">
                  <c:v>0.96206839889898399</c:v>
                </c:pt>
                <c:pt idx="11">
                  <c:v>1.4212002086067901</c:v>
                </c:pt>
                <c:pt idx="12">
                  <c:v>1.95940536755001</c:v>
                </c:pt>
                <c:pt idx="13">
                  <c:v>2.6162354393879799</c:v>
                </c:pt>
                <c:pt idx="14">
                  <c:v>3.1642987111627598</c:v>
                </c:pt>
                <c:pt idx="15">
                  <c:v>3.8655945140342198</c:v>
                </c:pt>
                <c:pt idx="16">
                  <c:v>4.4680709639238696</c:v>
                </c:pt>
                <c:pt idx="17">
                  <c:v>4.7887723008239798</c:v>
                </c:pt>
                <c:pt idx="18">
                  <c:v>4.7880576268253803</c:v>
                </c:pt>
                <c:pt idx="19">
                  <c:v>4.7874322870765997</c:v>
                </c:pt>
                <c:pt idx="20">
                  <c:v>4.7867473911612803</c:v>
                </c:pt>
                <c:pt idx="21">
                  <c:v>4.7909766626200998</c:v>
                </c:pt>
                <c:pt idx="22">
                  <c:v>4.7902917667047697</c:v>
                </c:pt>
                <c:pt idx="23">
                  <c:v>4.7896068707894504</c:v>
                </c:pt>
                <c:pt idx="24">
                  <c:v>4.78889219679085</c:v>
                </c:pt>
                <c:pt idx="25">
                  <c:v>4.7882073008755199</c:v>
                </c:pt>
                <c:pt idx="26">
                  <c:v>4.7924365723343403</c:v>
                </c:pt>
                <c:pt idx="27">
                  <c:v>4.7917218983357399</c:v>
                </c:pt>
                <c:pt idx="28">
                  <c:v>4.7811193334223097</c:v>
                </c:pt>
                <c:pt idx="29">
                  <c:v>4.7853783829644003</c:v>
                </c:pt>
                <c:pt idx="30">
                  <c:v>4.7896076544232198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8B-4B53-82B0-9FB72F1EE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104064"/>
        <c:axId val="996104544"/>
      </c:scatterChart>
      <c:valAx>
        <c:axId val="99610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104544"/>
        <c:crosses val="autoZero"/>
        <c:crossBetween val="midCat"/>
      </c:valAx>
      <c:valAx>
        <c:axId val="99610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10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outlet!$A$1:$A$31</c:f>
              <c:numCache>
                <c:formatCode>General</c:formatCode>
                <c:ptCount val="3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</c:numCache>
            </c:numRef>
          </c:xVal>
          <c:yVal>
            <c:numRef>
              <c:f>outlet!$D$1:$D$31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1.6999802733258899E-2</c:v>
                </c:pt>
                <c:pt idx="5">
                  <c:v>3.60906886476055E-2</c:v>
                </c:pt>
                <c:pt idx="6">
                  <c:v>6.9983632850930705E-2</c:v>
                </c:pt>
                <c:pt idx="7">
                  <c:v>0.19289737337105201</c:v>
                </c:pt>
                <c:pt idx="8">
                  <c:v>0.34053084117826199</c:v>
                </c:pt>
                <c:pt idx="9">
                  <c:v>0.60187505450608203</c:v>
                </c:pt>
                <c:pt idx="10">
                  <c:v>0.96206839889898399</c:v>
                </c:pt>
                <c:pt idx="11">
                  <c:v>1.4212002086067901</c:v>
                </c:pt>
                <c:pt idx="12">
                  <c:v>1.95940536755001</c:v>
                </c:pt>
                <c:pt idx="13">
                  <c:v>2.6162354393879799</c:v>
                </c:pt>
                <c:pt idx="14">
                  <c:v>3.1642987111627598</c:v>
                </c:pt>
                <c:pt idx="15">
                  <c:v>3.8655945140342198</c:v>
                </c:pt>
                <c:pt idx="16">
                  <c:v>4.4680709639238696</c:v>
                </c:pt>
                <c:pt idx="17">
                  <c:v>4.8600000000000003</c:v>
                </c:pt>
                <c:pt idx="18">
                  <c:v>4.8600000000000003</c:v>
                </c:pt>
                <c:pt idx="19">
                  <c:v>4.8600000000000003</c:v>
                </c:pt>
                <c:pt idx="20">
                  <c:v>4.8600000000000003</c:v>
                </c:pt>
                <c:pt idx="21">
                  <c:v>4.8600000000000003</c:v>
                </c:pt>
                <c:pt idx="22">
                  <c:v>4.8600000000000003</c:v>
                </c:pt>
                <c:pt idx="23">
                  <c:v>4.8600000000000003</c:v>
                </c:pt>
                <c:pt idx="24">
                  <c:v>4.8600000000000003</c:v>
                </c:pt>
                <c:pt idx="25">
                  <c:v>4.8600000000000003</c:v>
                </c:pt>
                <c:pt idx="26">
                  <c:v>4.8600000000000003</c:v>
                </c:pt>
                <c:pt idx="27">
                  <c:v>4.8600000000000003</c:v>
                </c:pt>
                <c:pt idx="28">
                  <c:v>4.8600000000000003</c:v>
                </c:pt>
                <c:pt idx="29">
                  <c:v>4.8600000000000003</c:v>
                </c:pt>
                <c:pt idx="30">
                  <c:v>4.8600000000000003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2D-441D-B6FE-FF5A88E54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48224"/>
        <c:axId val="2072251136"/>
      </c:scatterChart>
      <c:valAx>
        <c:axId val="8614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2251136"/>
        <c:crosses val="autoZero"/>
        <c:crossBetween val="midCat"/>
      </c:valAx>
      <c:valAx>
        <c:axId val="207225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14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outlet!$A$1:$A$31</c:f>
              <c:numCache>
                <c:formatCode>General</c:formatCode>
                <c:ptCount val="3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</c:numCache>
            </c:numRef>
          </c:xVal>
          <c:yVal>
            <c:numRef>
              <c:f>outlet!$D$1:$D$31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1.6999802733258899E-2</c:v>
                </c:pt>
                <c:pt idx="5">
                  <c:v>3.60906886476055E-2</c:v>
                </c:pt>
                <c:pt idx="6">
                  <c:v>6.9983632850930705E-2</c:v>
                </c:pt>
                <c:pt idx="7">
                  <c:v>0.19289737337105201</c:v>
                </c:pt>
                <c:pt idx="8">
                  <c:v>0.34053084117826199</c:v>
                </c:pt>
                <c:pt idx="9">
                  <c:v>0.60187505450608203</c:v>
                </c:pt>
                <c:pt idx="10">
                  <c:v>0.96206839889898399</c:v>
                </c:pt>
                <c:pt idx="11">
                  <c:v>1.4212002086067901</c:v>
                </c:pt>
                <c:pt idx="12">
                  <c:v>1.95940536755001</c:v>
                </c:pt>
                <c:pt idx="13">
                  <c:v>2.6162354393879799</c:v>
                </c:pt>
                <c:pt idx="14">
                  <c:v>3.1642987111627598</c:v>
                </c:pt>
                <c:pt idx="15">
                  <c:v>3.8655945140342198</c:v>
                </c:pt>
                <c:pt idx="16">
                  <c:v>4.4680709639238696</c:v>
                </c:pt>
                <c:pt idx="17">
                  <c:v>4.8600000000000003</c:v>
                </c:pt>
                <c:pt idx="18">
                  <c:v>4.8600000000000003</c:v>
                </c:pt>
                <c:pt idx="19">
                  <c:v>4.8600000000000003</c:v>
                </c:pt>
                <c:pt idx="20">
                  <c:v>4.8600000000000003</c:v>
                </c:pt>
                <c:pt idx="21">
                  <c:v>4.8600000000000003</c:v>
                </c:pt>
                <c:pt idx="22">
                  <c:v>4.8600000000000003</c:v>
                </c:pt>
                <c:pt idx="23">
                  <c:v>4.8600000000000003</c:v>
                </c:pt>
                <c:pt idx="24">
                  <c:v>4.8600000000000003</c:v>
                </c:pt>
                <c:pt idx="25">
                  <c:v>4.8600000000000003</c:v>
                </c:pt>
                <c:pt idx="26">
                  <c:v>4.8600000000000003</c:v>
                </c:pt>
                <c:pt idx="27">
                  <c:v>4.8600000000000003</c:v>
                </c:pt>
                <c:pt idx="28">
                  <c:v>4.8600000000000003</c:v>
                </c:pt>
                <c:pt idx="29">
                  <c:v>4.8600000000000003</c:v>
                </c:pt>
                <c:pt idx="30">
                  <c:v>4.8600000000000003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21-47B6-A8CB-A3DA5B09C654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outlet!$A$1:$A$31</c:f>
              <c:numCache>
                <c:formatCode>General</c:formatCode>
                <c:ptCount val="3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</c:numCache>
            </c:numRef>
          </c:xVal>
          <c:yVal>
            <c:numRef>
              <c:f>outlet!$E$1:$E$31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1.6999802733258899E-2</c:v>
                </c:pt>
                <c:pt idx="5">
                  <c:v>3.60906886476055E-2</c:v>
                </c:pt>
                <c:pt idx="6">
                  <c:v>6.9983632850930705E-2</c:v>
                </c:pt>
                <c:pt idx="7">
                  <c:v>0.19289737337105201</c:v>
                </c:pt>
                <c:pt idx="8">
                  <c:v>0.34053084117826199</c:v>
                </c:pt>
                <c:pt idx="9">
                  <c:v>0.60187505450608203</c:v>
                </c:pt>
                <c:pt idx="10">
                  <c:v>0.96206839889898399</c:v>
                </c:pt>
                <c:pt idx="11">
                  <c:v>1.4212002086067901</c:v>
                </c:pt>
                <c:pt idx="12">
                  <c:v>1.95940536755001</c:v>
                </c:pt>
                <c:pt idx="13">
                  <c:v>2.4300000000000002</c:v>
                </c:pt>
                <c:pt idx="14">
                  <c:v>2.4300000000000002</c:v>
                </c:pt>
                <c:pt idx="15">
                  <c:v>2.4300000000000002</c:v>
                </c:pt>
                <c:pt idx="16">
                  <c:v>2.4300000000000002</c:v>
                </c:pt>
                <c:pt idx="17">
                  <c:v>2.4300000000000002</c:v>
                </c:pt>
                <c:pt idx="18">
                  <c:v>2.4300000000000002</c:v>
                </c:pt>
                <c:pt idx="19">
                  <c:v>2.4300000000000002</c:v>
                </c:pt>
                <c:pt idx="20">
                  <c:v>2.4300000000000002</c:v>
                </c:pt>
                <c:pt idx="21">
                  <c:v>2.4300000000000002</c:v>
                </c:pt>
                <c:pt idx="22">
                  <c:v>2.4300000000000002</c:v>
                </c:pt>
                <c:pt idx="23">
                  <c:v>2.4300000000000002</c:v>
                </c:pt>
                <c:pt idx="24">
                  <c:v>2.4300000000000002</c:v>
                </c:pt>
                <c:pt idx="25">
                  <c:v>2.4300000000000002</c:v>
                </c:pt>
                <c:pt idx="26">
                  <c:v>2.4300000000000002</c:v>
                </c:pt>
                <c:pt idx="27">
                  <c:v>2.4300000000000002</c:v>
                </c:pt>
                <c:pt idx="28">
                  <c:v>2.4300000000000002</c:v>
                </c:pt>
                <c:pt idx="29">
                  <c:v>2.4300000000000002</c:v>
                </c:pt>
                <c:pt idx="30">
                  <c:v>2.4300000000000002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21-47B6-A8CB-A3DA5B09C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91600"/>
        <c:axId val="1062591120"/>
      </c:scatterChart>
      <c:valAx>
        <c:axId val="106259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2591120"/>
        <c:crosses val="autoZero"/>
        <c:crossBetween val="midCat"/>
      </c:valAx>
      <c:valAx>
        <c:axId val="106259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2591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hillside!$A$1:$A$62</c:f>
              <c:numCache>
                <c:formatCode>General</c:formatCode>
                <c:ptCount val="62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</c:numCache>
            </c:numRef>
          </c:xVal>
          <c:yVal>
            <c:numRef>
              <c:f>hillside!$C$1:$C$61</c:f>
              <c:numCache>
                <c:formatCode>General</c:formatCode>
                <c:ptCount val="61"/>
                <c:pt idx="0">
                  <c:v>0</c:v>
                </c:pt>
                <c:pt idx="1">
                  <c:v>6.3583715019126198E-3</c:v>
                </c:pt>
                <c:pt idx="2">
                  <c:v>1.61254383095094E-2</c:v>
                </c:pt>
                <c:pt idx="3">
                  <c:v>3.3993890930138902E-2</c:v>
                </c:pt>
                <c:pt idx="4">
                  <c:v>5.1008531306623701E-2</c:v>
                </c:pt>
                <c:pt idx="5">
                  <c:v>7.9959503556808295E-2</c:v>
                </c:pt>
                <c:pt idx="6">
                  <c:v>0.10592540978793399</c:v>
                </c:pt>
                <c:pt idx="7">
                  <c:v>0.139990080363734</c:v>
                </c:pt>
                <c:pt idx="8">
                  <c:v>0.17022242634722501</c:v>
                </c:pt>
                <c:pt idx="9">
                  <c:v>0.21707199810415401</c:v>
                </c:pt>
                <c:pt idx="10">
                  <c:v>0.24005283831622001</c:v>
                </c:pt>
                <c:pt idx="11">
                  <c:v>0.24023319533923901</c:v>
                </c:pt>
                <c:pt idx="12">
                  <c:v>0.23975844741963601</c:v>
                </c:pt>
                <c:pt idx="13">
                  <c:v>0.24014799761760999</c:v>
                </c:pt>
                <c:pt idx="14">
                  <c:v>0.240117850731495</c:v>
                </c:pt>
                <c:pt idx="15">
                  <c:v>0.24006148916180101</c:v>
                </c:pt>
                <c:pt idx="16">
                  <c:v>0.23939327687739101</c:v>
                </c:pt>
                <c:pt idx="17">
                  <c:v>0.23999988465539199</c:v>
                </c:pt>
                <c:pt idx="18">
                  <c:v>0.23995925189584599</c:v>
                </c:pt>
                <c:pt idx="19">
                  <c:v>0.239927794275552</c:v>
                </c:pt>
                <c:pt idx="20">
                  <c:v>0.239892404452721</c:v>
                </c:pt>
                <c:pt idx="21">
                  <c:v>0.23985963609824801</c:v>
                </c:pt>
                <c:pt idx="22">
                  <c:v>0.24024918629622199</c:v>
                </c:pt>
                <c:pt idx="24">
                  <c:v>0.24063218282330001</c:v>
                </c:pt>
                <c:pt idx="25">
                  <c:v>0.24059941446882799</c:v>
                </c:pt>
                <c:pt idx="26">
                  <c:v>0.24055353877256599</c:v>
                </c:pt>
                <c:pt idx="27">
                  <c:v>0.240522081152272</c:v>
                </c:pt>
                <c:pt idx="28">
                  <c:v>0.239846004462788</c:v>
                </c:pt>
                <c:pt idx="29">
                  <c:v>0.23981323610831501</c:v>
                </c:pt>
                <c:pt idx="30">
                  <c:v>0.23998441799208101</c:v>
                </c:pt>
                <c:pt idx="31">
                  <c:v>0.202012710975773</c:v>
                </c:pt>
                <c:pt idx="32">
                  <c:v>0.169367827662573</c:v>
                </c:pt>
                <c:pt idx="33">
                  <c:v>0.14205238952083801</c:v>
                </c:pt>
                <c:pt idx="34">
                  <c:v>0.11793514277565301</c:v>
                </c:pt>
                <c:pt idx="35">
                  <c:v>9.87171582444131E-2</c:v>
                </c:pt>
                <c:pt idx="36">
                  <c:v>8.2696054375545294E-2</c:v>
                </c:pt>
                <c:pt idx="37">
                  <c:v>6.9020640393262195E-2</c:v>
                </c:pt>
                <c:pt idx="38">
                  <c:v>5.6838414787598199E-2</c:v>
                </c:pt>
                <c:pt idx="39">
                  <c:v>4.7850448375947902E-2</c:v>
                </c:pt>
                <c:pt idx="40">
                  <c:v>3.9929419585933802E-2</c:v>
                </c:pt>
                <c:pt idx="41">
                  <c:v>3.41383338366553E-2</c:v>
                </c:pt>
                <c:pt idx="42">
                  <c:v>2.9628621820683199E-2</c:v>
                </c:pt>
                <c:pt idx="43">
                  <c:v>2.6393729867123E-2</c:v>
                </c:pt>
                <c:pt idx="44">
                  <c:v>2.2523393983625298E-2</c:v>
                </c:pt>
                <c:pt idx="45">
                  <c:v>1.7796624387624999E-2</c:v>
                </c:pt>
                <c:pt idx="46">
                  <c:v>1.6054920810683802E-2</c:v>
                </c:pt>
                <c:pt idx="47">
                  <c:v>1.38869664787598E-2</c:v>
                </c:pt>
                <c:pt idx="48">
                  <c:v>1.25728243909805E-2</c:v>
                </c:pt>
                <c:pt idx="49">
                  <c:v>1.10455569257097E-2</c:v>
                </c:pt>
                <c:pt idx="50">
                  <c:v>1.0370790970404701E-2</c:v>
                </c:pt>
                <c:pt idx="51">
                  <c:v>9.0592703509831604E-3</c:v>
                </c:pt>
                <c:pt idx="52">
                  <c:v>7.7451282632038099E-3</c:v>
                </c:pt>
                <c:pt idx="53">
                  <c:v>6.8559261962284398E-3</c:v>
                </c:pt>
                <c:pt idx="54">
                  <c:v>5.9680348634319801E-3</c:v>
                </c:pt>
                <c:pt idx="55">
                  <c:v>5.93133430642239E-3</c:v>
                </c:pt>
                <c:pt idx="56">
                  <c:v>5.6867513086369999E-3</c:v>
                </c:pt>
                <c:pt idx="57">
                  <c:v>5.0132960875109104E-3</c:v>
                </c:pt>
                <c:pt idx="58">
                  <c:v>4.5477233071605904E-3</c:v>
                </c:pt>
                <c:pt idx="59">
                  <c:v>4.2978973726595501E-3</c:v>
                </c:pt>
                <c:pt idx="60">
                  <c:v>3.6231314173545402E-3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1-4AFB-AFD5-9F1CAD03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604592"/>
        <c:axId val="2072605072"/>
      </c:scatterChart>
      <c:valAx>
        <c:axId val="207260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2605072"/>
        <c:crosses val="autoZero"/>
        <c:crossBetween val="midCat"/>
      </c:valAx>
      <c:valAx>
        <c:axId val="207260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260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hillside!$A$1:$A$61</c:f>
              <c:numCache>
                <c:formatCode>General</c:formatCode>
                <c:ptCount val="6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</c:numCache>
            </c:numRef>
          </c:xVal>
          <c:yVal>
            <c:numRef>
              <c:f>hillside!$D$1:$D$61</c:f>
              <c:numCache>
                <c:formatCode>General</c:formatCode>
                <c:ptCount val="61"/>
                <c:pt idx="0">
                  <c:v>0</c:v>
                </c:pt>
                <c:pt idx="1">
                  <c:v>5.1836999999999994E-3</c:v>
                </c:pt>
                <c:pt idx="2">
                  <c:v>1.6309199999999999E-2</c:v>
                </c:pt>
                <c:pt idx="3">
                  <c:v>3.27123E-2</c:v>
                </c:pt>
                <c:pt idx="4">
                  <c:v>5.3728799999999993E-2</c:v>
                </c:pt>
                <c:pt idx="5">
                  <c:v>7.8694500000000001E-2</c:v>
                </c:pt>
                <c:pt idx="6">
                  <c:v>0.10694519999999999</c:v>
                </c:pt>
                <c:pt idx="7">
                  <c:v>0.13781669999999999</c:v>
                </c:pt>
                <c:pt idx="8">
                  <c:v>0.17064480000000001</c:v>
                </c:pt>
                <c:pt idx="9">
                  <c:v>0.20476529999999998</c:v>
                </c:pt>
                <c:pt idx="10">
                  <c:v>0.24</c:v>
                </c:pt>
                <c:pt idx="11">
                  <c:v>0.24</c:v>
                </c:pt>
                <c:pt idx="12">
                  <c:v>0.24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0.24</c:v>
                </c:pt>
                <c:pt idx="17">
                  <c:v>0.24</c:v>
                </c:pt>
                <c:pt idx="18">
                  <c:v>0.24</c:v>
                </c:pt>
                <c:pt idx="19">
                  <c:v>0.24</c:v>
                </c:pt>
                <c:pt idx="20">
                  <c:v>0.24</c:v>
                </c:pt>
                <c:pt idx="21">
                  <c:v>0.24</c:v>
                </c:pt>
                <c:pt idx="22">
                  <c:v>0.24</c:v>
                </c:pt>
                <c:pt idx="23">
                  <c:v>0.24</c:v>
                </c:pt>
                <c:pt idx="24">
                  <c:v>0.24</c:v>
                </c:pt>
                <c:pt idx="25">
                  <c:v>0.24</c:v>
                </c:pt>
                <c:pt idx="26">
                  <c:v>0.24</c:v>
                </c:pt>
                <c:pt idx="27">
                  <c:v>0.24</c:v>
                </c:pt>
                <c:pt idx="28">
                  <c:v>0.24</c:v>
                </c:pt>
                <c:pt idx="29">
                  <c:v>0.24</c:v>
                </c:pt>
                <c:pt idx="30">
                  <c:v>0.24</c:v>
                </c:pt>
                <c:pt idx="31">
                  <c:v>0.2005697174501111</c:v>
                </c:pt>
                <c:pt idx="32">
                  <c:v>0.16428316135898594</c:v>
                </c:pt>
                <c:pt idx="33">
                  <c:v>0.136283887633111</c:v>
                </c:pt>
                <c:pt idx="34">
                  <c:v>0.1144154854783013</c:v>
                </c:pt>
                <c:pt idx="35">
                  <c:v>9.5234688289470487E-2</c:v>
                </c:pt>
                <c:pt idx="36">
                  <c:v>7.967195145717279E-2</c:v>
                </c:pt>
                <c:pt idx="37">
                  <c:v>6.7389736854698054E-2</c:v>
                </c:pt>
                <c:pt idx="38">
                  <c:v>5.75922377781347E-2</c:v>
                </c:pt>
                <c:pt idx="39">
                  <c:v>4.8826470334537686E-2</c:v>
                </c:pt>
                <c:pt idx="40">
                  <c:v>4.180802524159774E-2</c:v>
                </c:pt>
                <c:pt idx="41">
                  <c:v>3.5731072404908283E-2</c:v>
                </c:pt>
                <c:pt idx="42">
                  <c:v>3.0988522738515125E-2</c:v>
                </c:pt>
                <c:pt idx="43">
                  <c:v>2.6534812945496266E-2</c:v>
                </c:pt>
                <c:pt idx="44">
                  <c:v>2.3165315648225528E-2</c:v>
                </c:pt>
                <c:pt idx="45">
                  <c:v>1.9978574352619894E-2</c:v>
                </c:pt>
                <c:pt idx="46">
                  <c:v>1.7372654408486263E-2</c:v>
                </c:pt>
                <c:pt idx="47">
                  <c:v>1.5153930566548488E-2</c:v>
                </c:pt>
                <c:pt idx="48">
                  <c:v>1.3320018104072547E-2</c:v>
                </c:pt>
                <c:pt idx="49">
                  <c:v>1.1739201714848164E-2</c:v>
                </c:pt>
                <c:pt idx="50">
                  <c:v>1.037181630840771E-2</c:v>
                </c:pt>
                <c:pt idx="51">
                  <c:v>9.2686626440148922E-3</c:v>
                </c:pt>
                <c:pt idx="52">
                  <c:v>8.2272089238589127E-3</c:v>
                </c:pt>
                <c:pt idx="53">
                  <c:v>7.2878195487852959E-3</c:v>
                </c:pt>
                <c:pt idx="54">
                  <c:v>6.4981082676829668E-3</c:v>
                </c:pt>
                <c:pt idx="55">
                  <c:v>5.7819414977106293E-3</c:v>
                </c:pt>
                <c:pt idx="56">
                  <c:v>5.2403703981846027E-3</c:v>
                </c:pt>
                <c:pt idx="57">
                  <c:v>4.7190684126395058E-3</c:v>
                </c:pt>
                <c:pt idx="58">
                  <c:v>4.1907088411405214E-3</c:v>
                </c:pt>
                <c:pt idx="59">
                  <c:v>3.7586646995270397E-3</c:v>
                </c:pt>
                <c:pt idx="60">
                  <c:v>3.3904160738709465E-3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F-4C4B-9B13-C535C1A6C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096384"/>
        <c:axId val="996097344"/>
      </c:scatterChart>
      <c:valAx>
        <c:axId val="99609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097344"/>
        <c:crosses val="autoZero"/>
        <c:crossBetween val="midCat"/>
      </c:valAx>
      <c:valAx>
        <c:axId val="99609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09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3.1799212598425199E-2"/>
                  <c:y val="-0.29125801983085448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Sheet2!$A$1:$A$31</c:f>
              <c:numCache>
                <c:formatCode>General</c:formatCode>
                <c:ptCount val="31"/>
                <c:pt idx="0">
                  <c:v>90</c:v>
                </c:pt>
                <c:pt idx="1">
                  <c:v>93</c:v>
                </c:pt>
                <c:pt idx="2">
                  <c:v>96</c:v>
                </c:pt>
                <c:pt idx="3">
                  <c:v>99</c:v>
                </c:pt>
                <c:pt idx="4">
                  <c:v>102</c:v>
                </c:pt>
                <c:pt idx="5">
                  <c:v>105</c:v>
                </c:pt>
                <c:pt idx="6">
                  <c:v>108</c:v>
                </c:pt>
                <c:pt idx="7">
                  <c:v>111</c:v>
                </c:pt>
                <c:pt idx="8">
                  <c:v>114</c:v>
                </c:pt>
                <c:pt idx="9">
                  <c:v>117</c:v>
                </c:pt>
                <c:pt idx="10">
                  <c:v>120</c:v>
                </c:pt>
                <c:pt idx="11">
                  <c:v>123</c:v>
                </c:pt>
                <c:pt idx="12">
                  <c:v>126</c:v>
                </c:pt>
                <c:pt idx="13">
                  <c:v>129</c:v>
                </c:pt>
                <c:pt idx="14">
                  <c:v>132</c:v>
                </c:pt>
                <c:pt idx="15">
                  <c:v>135</c:v>
                </c:pt>
                <c:pt idx="16">
                  <c:v>138</c:v>
                </c:pt>
                <c:pt idx="17">
                  <c:v>141</c:v>
                </c:pt>
                <c:pt idx="18">
                  <c:v>144</c:v>
                </c:pt>
                <c:pt idx="19">
                  <c:v>147</c:v>
                </c:pt>
                <c:pt idx="20">
                  <c:v>150</c:v>
                </c:pt>
                <c:pt idx="21">
                  <c:v>153</c:v>
                </c:pt>
                <c:pt idx="22">
                  <c:v>156</c:v>
                </c:pt>
                <c:pt idx="23">
                  <c:v>159</c:v>
                </c:pt>
                <c:pt idx="24">
                  <c:v>162</c:v>
                </c:pt>
                <c:pt idx="25">
                  <c:v>165</c:v>
                </c:pt>
                <c:pt idx="26">
                  <c:v>168</c:v>
                </c:pt>
                <c:pt idx="27">
                  <c:v>171</c:v>
                </c:pt>
                <c:pt idx="28">
                  <c:v>174</c:v>
                </c:pt>
                <c:pt idx="29">
                  <c:v>177</c:v>
                </c:pt>
                <c:pt idx="30">
                  <c:v>180</c:v>
                </c:pt>
              </c:numCache>
            </c:numRef>
          </c:xVal>
          <c:yVal>
            <c:numRef>
              <c:f>Sheet2!$B$1:$B$31</c:f>
              <c:numCache>
                <c:formatCode>General</c:formatCode>
                <c:ptCount val="31"/>
                <c:pt idx="0">
                  <c:v>0.23998441799208101</c:v>
                </c:pt>
                <c:pt idx="1">
                  <c:v>0.202012710975773</c:v>
                </c:pt>
                <c:pt idx="2">
                  <c:v>0.169367827662573</c:v>
                </c:pt>
                <c:pt idx="3">
                  <c:v>0.14205238952083801</c:v>
                </c:pt>
                <c:pt idx="4">
                  <c:v>0.11793514277565301</c:v>
                </c:pt>
                <c:pt idx="5">
                  <c:v>9.87171582444131E-2</c:v>
                </c:pt>
                <c:pt idx="6">
                  <c:v>8.2696054375545294E-2</c:v>
                </c:pt>
                <c:pt idx="7">
                  <c:v>6.9020640393262195E-2</c:v>
                </c:pt>
                <c:pt idx="8">
                  <c:v>5.6838414787598199E-2</c:v>
                </c:pt>
                <c:pt idx="9">
                  <c:v>4.7850448375947902E-2</c:v>
                </c:pt>
                <c:pt idx="10">
                  <c:v>3.9929419585933802E-2</c:v>
                </c:pt>
                <c:pt idx="11">
                  <c:v>3.41383338366553E-2</c:v>
                </c:pt>
                <c:pt idx="12">
                  <c:v>2.9628621820683199E-2</c:v>
                </c:pt>
                <c:pt idx="13">
                  <c:v>2.6393729867123E-2</c:v>
                </c:pt>
                <c:pt idx="14">
                  <c:v>2.2523393983625298E-2</c:v>
                </c:pt>
                <c:pt idx="15">
                  <c:v>1.7796624387624999E-2</c:v>
                </c:pt>
                <c:pt idx="16">
                  <c:v>1.6054920810683802E-2</c:v>
                </c:pt>
                <c:pt idx="17">
                  <c:v>1.38869664787598E-2</c:v>
                </c:pt>
                <c:pt idx="18">
                  <c:v>1.25728243909805E-2</c:v>
                </c:pt>
                <c:pt idx="19">
                  <c:v>1.10455569257097E-2</c:v>
                </c:pt>
                <c:pt idx="20">
                  <c:v>1.0370790970404701E-2</c:v>
                </c:pt>
                <c:pt idx="21">
                  <c:v>9.0592703509831604E-3</c:v>
                </c:pt>
                <c:pt idx="22">
                  <c:v>7.7451282632038099E-3</c:v>
                </c:pt>
                <c:pt idx="23">
                  <c:v>6.8559261962284398E-3</c:v>
                </c:pt>
                <c:pt idx="24">
                  <c:v>5.9680348634319801E-3</c:v>
                </c:pt>
                <c:pt idx="25">
                  <c:v>5.93133430642239E-3</c:v>
                </c:pt>
                <c:pt idx="26">
                  <c:v>5.6867513086369999E-3</c:v>
                </c:pt>
                <c:pt idx="27">
                  <c:v>5.0132960875109104E-3</c:v>
                </c:pt>
                <c:pt idx="28">
                  <c:v>4.5477233071605904E-3</c:v>
                </c:pt>
                <c:pt idx="29">
                  <c:v>4.2978973726595501E-3</c:v>
                </c:pt>
                <c:pt idx="30">
                  <c:v>3.6231314173545402E-3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B7-48E7-86C5-4263EB97C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46352"/>
        <c:axId val="1058443952"/>
      </c:scatterChart>
      <c:valAx>
        <c:axId val="1058446352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8443952"/>
        <c:crosses val="autoZero"/>
        <c:crossBetween val="midCat"/>
      </c:valAx>
      <c:valAx>
        <c:axId val="10584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844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Sheet2!$A$1:$A$31</c:f>
              <c:numCache>
                <c:formatCode>General</c:formatCode>
                <c:ptCount val="31"/>
                <c:pt idx="0">
                  <c:v>90</c:v>
                </c:pt>
                <c:pt idx="1">
                  <c:v>93</c:v>
                </c:pt>
                <c:pt idx="2">
                  <c:v>96</c:v>
                </c:pt>
                <c:pt idx="3">
                  <c:v>99</c:v>
                </c:pt>
                <c:pt idx="4">
                  <c:v>102</c:v>
                </c:pt>
                <c:pt idx="5">
                  <c:v>105</c:v>
                </c:pt>
                <c:pt idx="6">
                  <c:v>108</c:v>
                </c:pt>
                <c:pt idx="7">
                  <c:v>111</c:v>
                </c:pt>
                <c:pt idx="8">
                  <c:v>114</c:v>
                </c:pt>
                <c:pt idx="9">
                  <c:v>117</c:v>
                </c:pt>
                <c:pt idx="10">
                  <c:v>120</c:v>
                </c:pt>
                <c:pt idx="11">
                  <c:v>123</c:v>
                </c:pt>
                <c:pt idx="12">
                  <c:v>126</c:v>
                </c:pt>
                <c:pt idx="13">
                  <c:v>129</c:v>
                </c:pt>
                <c:pt idx="14">
                  <c:v>132</c:v>
                </c:pt>
                <c:pt idx="15">
                  <c:v>135</c:v>
                </c:pt>
                <c:pt idx="16">
                  <c:v>138</c:v>
                </c:pt>
                <c:pt idx="17">
                  <c:v>141</c:v>
                </c:pt>
                <c:pt idx="18">
                  <c:v>144</c:v>
                </c:pt>
                <c:pt idx="19">
                  <c:v>147</c:v>
                </c:pt>
                <c:pt idx="20">
                  <c:v>150</c:v>
                </c:pt>
                <c:pt idx="21">
                  <c:v>153</c:v>
                </c:pt>
                <c:pt idx="22">
                  <c:v>156</c:v>
                </c:pt>
                <c:pt idx="23">
                  <c:v>159</c:v>
                </c:pt>
                <c:pt idx="24">
                  <c:v>162</c:v>
                </c:pt>
                <c:pt idx="25">
                  <c:v>165</c:v>
                </c:pt>
                <c:pt idx="26">
                  <c:v>168</c:v>
                </c:pt>
                <c:pt idx="27">
                  <c:v>171</c:v>
                </c:pt>
                <c:pt idx="28">
                  <c:v>174</c:v>
                </c:pt>
                <c:pt idx="29">
                  <c:v>177</c:v>
                </c:pt>
                <c:pt idx="30">
                  <c:v>180</c:v>
                </c:pt>
              </c:numCache>
            </c:numRef>
          </c:xVal>
          <c:yVal>
            <c:numRef>
              <c:f>Sheet2!$C$1:$C$31</c:f>
              <c:numCache>
                <c:formatCode>General</c:formatCode>
                <c:ptCount val="31"/>
                <c:pt idx="0">
                  <c:v>0.24245714806028301</c:v>
                </c:pt>
                <c:pt idx="1">
                  <c:v>0.19811406607896662</c:v>
                </c:pt>
                <c:pt idx="2">
                  <c:v>0.16292242208404589</c:v>
                </c:pt>
                <c:pt idx="3">
                  <c:v>0.13479078143462786</c:v>
                </c:pt>
                <c:pt idx="4">
                  <c:v>0.11214947070756348</c:v>
                </c:pt>
                <c:pt idx="5">
                  <c:v>9.3810070632118686E-2</c:v>
                </c:pt>
                <c:pt idx="6">
                  <c:v>7.8865386289474648E-2</c:v>
                </c:pt>
                <c:pt idx="7">
                  <c:v>6.6617512067323748E-2</c:v>
                </c:pt>
                <c:pt idx="8">
                  <c:v>5.652560671835738E-2</c:v>
                </c:pt>
                <c:pt idx="9">
                  <c:v>4.8167636471572885E-2</c:v>
                </c:pt>
                <c:pt idx="10">
                  <c:v>4.1212111748729449E-2</c:v>
                </c:pt>
                <c:pt idx="11">
                  <c:v>3.5397038673220631E-2</c:v>
                </c:pt>
                <c:pt idx="12">
                  <c:v>3.0514123907806823E-2</c:v>
                </c:pt>
                <c:pt idx="13">
                  <c:v>2.6396835733070296E-2</c:v>
                </c:pt>
                <c:pt idx="14">
                  <c:v>2.2911317697267015E-2</c:v>
                </c:pt>
                <c:pt idx="15">
                  <c:v>1.994942790128584E-2</c:v>
                </c:pt>
                <c:pt idx="16">
                  <c:v>1.7423373315463762E-2</c:v>
                </c:pt>
                <c:pt idx="17">
                  <c:v>1.5261548959505414E-2</c:v>
                </c:pt>
                <c:pt idx="18">
                  <c:v>1.3405293013099459E-2</c:v>
                </c:pt>
                <c:pt idx="19">
                  <c:v>1.1806342448426627E-2</c:v>
                </c:pt>
                <c:pt idx="20">
                  <c:v>1.042482755328542E-2</c:v>
                </c:pt>
                <c:pt idx="21">
                  <c:v>9.2276833161941876E-3</c:v>
                </c:pt>
                <c:pt idx="22">
                  <c:v>8.1873849990393814E-3</c:v>
                </c:pt>
                <c:pt idx="23">
                  <c:v>7.2809371166868923E-3</c:v>
                </c:pt>
                <c:pt idx="24">
                  <c:v>6.4890614703500375E-3</c:v>
                </c:pt>
                <c:pt idx="25">
                  <c:v>5.7955422781728353E-3</c:v>
                </c:pt>
                <c:pt idx="26">
                  <c:v>5.1866958531181029E-3</c:v>
                </c:pt>
                <c:pt idx="27">
                  <c:v>4.6509394539439855E-3</c:v>
                </c:pt>
                <c:pt idx="28">
                  <c:v>4.1784394368811909E-3</c:v>
                </c:pt>
                <c:pt idx="29">
                  <c:v>3.7608230748013664E-3</c:v>
                </c:pt>
                <c:pt idx="30">
                  <c:v>3.3909416924536172E-3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F8-42E3-B447-53F00EE3F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78640"/>
        <c:axId val="1062581040"/>
      </c:scatterChart>
      <c:valAx>
        <c:axId val="106257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2581040"/>
        <c:crosses val="autoZero"/>
        <c:crossBetween val="midCat"/>
      </c:valAx>
      <c:valAx>
        <c:axId val="106258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257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intercept val="0"/>
            <c:dispRSqr val="0"/>
            <c:dispEq val="1"/>
            <c:trendlineLbl>
              <c:numFmt formatCode="#,##0.0000000_ 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Sheet3!$A$1:$A$11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</c:numCache>
            </c:numRef>
          </c:xVal>
          <c:yVal>
            <c:numRef>
              <c:f>Sheet3!$B$1:$B$11</c:f>
              <c:numCache>
                <c:formatCode>General</c:formatCode>
                <c:ptCount val="11"/>
                <c:pt idx="0">
                  <c:v>0</c:v>
                </c:pt>
                <c:pt idx="1">
                  <c:v>6.3583715019126198E-3</c:v>
                </c:pt>
                <c:pt idx="2">
                  <c:v>1.61254383095094E-2</c:v>
                </c:pt>
                <c:pt idx="3">
                  <c:v>3.3993890930138902E-2</c:v>
                </c:pt>
                <c:pt idx="4">
                  <c:v>5.1008531306623701E-2</c:v>
                </c:pt>
                <c:pt idx="5">
                  <c:v>7.9959503556808295E-2</c:v>
                </c:pt>
                <c:pt idx="6">
                  <c:v>0.10592540978793399</c:v>
                </c:pt>
                <c:pt idx="7">
                  <c:v>0.139990080363734</c:v>
                </c:pt>
                <c:pt idx="8">
                  <c:v>0.17022242634722501</c:v>
                </c:pt>
                <c:pt idx="10">
                  <c:v>0.24005283831622001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1C-4856-B461-925D35DA3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91600"/>
        <c:axId val="1062581520"/>
      </c:scatterChart>
      <c:valAx>
        <c:axId val="106259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2581520"/>
        <c:crosses val="autoZero"/>
        <c:crossBetween val="midCat"/>
      </c:valAx>
      <c:valAx>
        <c:axId val="106258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259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575310</xdr:colOff>
      <xdr:row>2</xdr:row>
      <xdr:rowOff>110490</xdr:rowOff>
    </xdr:from>
    <xdr:to>
      <xdr:col>12</xdr:col>
      <xdr:colOff>240030</xdr:colOff>
      <xdr:row>14</xdr:row>
      <xdr:rowOff>156210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C7974A5-07BF-4512-3111-427031B66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582930</xdr:colOff>
      <xdr:row>14</xdr:row>
      <xdr:rowOff>38100</xdr:rowOff>
    </xdr:from>
    <xdr:to>
      <xdr:col>12</xdr:col>
      <xdr:colOff>247650</xdr:colOff>
      <xdr:row>26</xdr:row>
      <xdr:rowOff>83820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D5272E3-5C67-318C-8776-0D070C3B3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108585</xdr:colOff>
      <xdr:row>7</xdr:row>
      <xdr:rowOff>49530</xdr:rowOff>
    </xdr:from>
    <xdr:to>
      <xdr:col>14</xdr:col>
      <xdr:colOff>474345</xdr:colOff>
      <xdr:row>19</xdr:row>
      <xdr:rowOff>95250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3F51C1D-88D5-D4C0-3F85-8FBC32682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1</xdr:row>
      <xdr:rowOff>137160</xdr:rowOff>
    </xdr:from>
    <xdr:to>
      <xdr:col>11</xdr:col>
      <xdr:colOff>182880</xdr:colOff>
      <xdr:row>13</xdr:row>
      <xdr:rowOff>182880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9CD3200-EA88-9CC2-9113-42F364AAE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542925</xdr:colOff>
      <xdr:row>14</xdr:row>
      <xdr:rowOff>125730</xdr:rowOff>
    </xdr:from>
    <xdr:to>
      <xdr:col>11</xdr:col>
      <xdr:colOff>207645</xdr:colOff>
      <xdr:row>26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BFC9A0D-F33C-7EFA-DF95-DC93F4029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6</xdr:row>
      <xdr:rowOff>205740</xdr:rowOff>
    </xdr:from>
    <xdr:to>
      <xdr:col>13</xdr:col>
      <xdr:colOff>251460</xdr:colOff>
      <xdr:row>19</xdr:row>
      <xdr:rowOff>26670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A7C582C-9826-3D03-A0F3-EBA6BC095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272415</xdr:colOff>
      <xdr:row>14</xdr:row>
      <xdr:rowOff>205740</xdr:rowOff>
    </xdr:from>
    <xdr:to>
      <xdr:col>10</xdr:col>
      <xdr:colOff>592455</xdr:colOff>
      <xdr:row>27</xdr:row>
      <xdr:rowOff>26670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A360D9E-C89A-E320-82D0-415C44F37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630555</xdr:colOff>
      <xdr:row>6</xdr:row>
      <xdr:rowOff>205740</xdr:rowOff>
    </xdr:from>
    <xdr:to>
      <xdr:col>11</xdr:col>
      <xdr:colOff>295275</xdr:colOff>
      <xdr:row>19</xdr:row>
      <xdr:rowOff>26670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9C9FC9B-BB96-203B-3DB2-CC4D5243B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A2DF-085E-486D-84DF-FBADD037D206}">
  <dimension ref="A1:E31"/>
  <sheetViews>
    <sheetView tabSelected="1" topLeftCell="A4" workbookViewId="0">
      <selection activeCell="E4" sqref="E4"/>
    </sheetView>
  </sheetViews>
  <sheetFormatPr defaultRowHeight="17.7" x14ac:dyDescent="0.85"/>
  <cols>
    <col min="2" max="2" width="8.80859375" style="1" bestFit="1" customWidth="1"/>
    <col min="3" max="3" width="8.76171875" style="1"/>
  </cols>
  <sheetData>
    <row r="1" spans="1:5" x14ac:dyDescent="0.85">
      <c r="A1">
        <v>0</v>
      </c>
      <c r="B1" s="1">
        <v>9.9856884093808704E-2</v>
      </c>
      <c r="C1" s="1">
        <v>0</v>
      </c>
      <c r="D1" s="1">
        <v>0</v>
      </c>
      <c r="E1" s="1">
        <v>0</v>
      </c>
    </row>
    <row r="2" spans="1:5" x14ac:dyDescent="0.85">
      <c r="A2">
        <v>3</v>
      </c>
      <c r="B2" s="1">
        <v>2.9529107153454901</v>
      </c>
      <c r="C2" s="1">
        <v>-6.6173518388854501E-4</v>
      </c>
      <c r="D2" s="1">
        <v>0</v>
      </c>
      <c r="E2" s="1">
        <v>0</v>
      </c>
    </row>
    <row r="3" spans="1:5" x14ac:dyDescent="0.85">
      <c r="A3">
        <v>6</v>
      </c>
      <c r="B3" s="1">
        <v>6.0342088530972999</v>
      </c>
      <c r="C3" s="1">
        <v>-1.3764091824881701E-3</v>
      </c>
      <c r="D3" s="1">
        <v>0</v>
      </c>
      <c r="E3" s="1">
        <v>0</v>
      </c>
    </row>
    <row r="4" spans="1:5" x14ac:dyDescent="0.85">
      <c r="A4">
        <v>9</v>
      </c>
      <c r="B4" s="1">
        <v>8.7303447236301306</v>
      </c>
      <c r="C4" s="1">
        <v>-2.0017489312628501E-3</v>
      </c>
      <c r="D4" s="1">
        <v>0</v>
      </c>
      <c r="E4" s="1">
        <v>0</v>
      </c>
    </row>
    <row r="5" spans="1:5" x14ac:dyDescent="0.85">
      <c r="A5">
        <v>12</v>
      </c>
      <c r="B5" s="1">
        <v>12.068812657614901</v>
      </c>
      <c r="C5" s="1">
        <v>1.6999802733258899E-2</v>
      </c>
      <c r="D5" s="1">
        <v>1.6999802733258899E-2</v>
      </c>
      <c r="E5" s="1">
        <v>1.6999802733258899E-2</v>
      </c>
    </row>
    <row r="6" spans="1:5" x14ac:dyDescent="0.85">
      <c r="A6">
        <v>15</v>
      </c>
      <c r="B6" s="1">
        <v>15.0221183243806</v>
      </c>
      <c r="C6" s="1">
        <v>3.60906886476055E-2</v>
      </c>
      <c r="D6" s="1">
        <v>3.60906886476055E-2</v>
      </c>
      <c r="E6" s="1">
        <v>3.60906886476055E-2</v>
      </c>
    </row>
    <row r="7" spans="1:5" x14ac:dyDescent="0.85">
      <c r="A7">
        <v>18</v>
      </c>
      <c r="B7" s="1">
        <v>18.104107627117902</v>
      </c>
      <c r="C7" s="1">
        <v>6.9983632850930705E-2</v>
      </c>
      <c r="D7" s="1">
        <v>6.9983632850930705E-2</v>
      </c>
      <c r="E7" s="1">
        <v>6.9983632850930705E-2</v>
      </c>
    </row>
    <row r="8" spans="1:5" x14ac:dyDescent="0.85">
      <c r="A8">
        <v>21</v>
      </c>
      <c r="B8" s="1">
        <v>21.0594867888402</v>
      </c>
      <c r="C8" s="1">
        <v>0.19289737337105201</v>
      </c>
      <c r="D8" s="1">
        <v>0.19289737337105201</v>
      </c>
      <c r="E8" s="1">
        <v>0.19289737337105201</v>
      </c>
    </row>
    <row r="9" spans="1:5" x14ac:dyDescent="0.85">
      <c r="A9">
        <v>24</v>
      </c>
      <c r="B9" s="1">
        <v>24.015359639837701</v>
      </c>
      <c r="C9" s="1">
        <v>0.34053084117826199</v>
      </c>
      <c r="D9" s="1">
        <v>0.34053084117826199</v>
      </c>
      <c r="E9" s="1">
        <v>0.34053084117826199</v>
      </c>
    </row>
    <row r="10" spans="1:5" x14ac:dyDescent="0.85">
      <c r="A10">
        <v>27</v>
      </c>
      <c r="B10" s="1">
        <v>26.973503461501899</v>
      </c>
      <c r="C10" s="1">
        <v>0.60187505450608203</v>
      </c>
      <c r="D10" s="1">
        <v>0.60187505450608203</v>
      </c>
      <c r="E10" s="1">
        <v>0.60187505450608203</v>
      </c>
    </row>
    <row r="11" spans="1:5" x14ac:dyDescent="0.85">
      <c r="A11">
        <v>30</v>
      </c>
      <c r="B11" s="1">
        <v>30.062009462673799</v>
      </c>
      <c r="C11" s="1">
        <v>0.96206839889898399</v>
      </c>
      <c r="D11" s="1">
        <v>0.96206839889898399</v>
      </c>
      <c r="E11" s="1">
        <v>0.96206839889898399</v>
      </c>
    </row>
    <row r="12" spans="1:5" x14ac:dyDescent="0.85">
      <c r="A12">
        <v>33</v>
      </c>
      <c r="B12" s="1">
        <v>32.895715376134497</v>
      </c>
      <c r="C12" s="1">
        <v>1.4212002086067901</v>
      </c>
      <c r="D12" s="1">
        <v>1.4212002086067901</v>
      </c>
      <c r="E12" s="1">
        <v>1.4212002086067901</v>
      </c>
    </row>
    <row r="13" spans="1:5" x14ac:dyDescent="0.85">
      <c r="A13">
        <v>36</v>
      </c>
      <c r="B13" s="1">
        <v>35.859388517682497</v>
      </c>
      <c r="C13" s="1">
        <v>1.95940536755001</v>
      </c>
      <c r="D13" s="1">
        <v>1.95940536755001</v>
      </c>
      <c r="E13" s="1">
        <v>1.95940536755001</v>
      </c>
    </row>
    <row r="14" spans="1:5" x14ac:dyDescent="0.85">
      <c r="A14">
        <v>39</v>
      </c>
      <c r="B14" s="1">
        <v>38.9538187901586</v>
      </c>
      <c r="C14" s="1">
        <v>2.6162354393879799</v>
      </c>
      <c r="D14" s="1">
        <v>2.6162354393879799</v>
      </c>
      <c r="E14" s="1">
        <v>2.4300000000000002</v>
      </c>
    </row>
    <row r="15" spans="1:5" x14ac:dyDescent="0.85">
      <c r="A15">
        <v>42</v>
      </c>
      <c r="B15" s="1">
        <v>42.0460768298232</v>
      </c>
      <c r="C15" s="1">
        <v>3.1642987111627598</v>
      </c>
      <c r="D15" s="1">
        <v>3.1642987111627598</v>
      </c>
      <c r="E15" s="1">
        <v>2.4300000000000002</v>
      </c>
    </row>
    <row r="16" spans="1:5" x14ac:dyDescent="0.85">
      <c r="A16">
        <v>45</v>
      </c>
      <c r="B16" s="1">
        <v>45.269783165401201</v>
      </c>
      <c r="C16" s="1">
        <v>3.8655945140342198</v>
      </c>
      <c r="D16" s="1">
        <v>3.8655945140342198</v>
      </c>
      <c r="E16" s="1">
        <v>2.4300000000000002</v>
      </c>
    </row>
    <row r="17" spans="1:5" x14ac:dyDescent="0.85">
      <c r="A17">
        <v>48</v>
      </c>
      <c r="B17" s="1">
        <v>48.234739899065197</v>
      </c>
      <c r="C17" s="1">
        <v>4.4680709639238696</v>
      </c>
      <c r="D17" s="1">
        <v>4.4680709639238696</v>
      </c>
      <c r="E17" s="1">
        <v>2.4300000000000002</v>
      </c>
    </row>
    <row r="18" spans="1:5" x14ac:dyDescent="0.85">
      <c r="A18">
        <v>51</v>
      </c>
      <c r="B18" s="1">
        <v>51.065681152583899</v>
      </c>
      <c r="C18" s="1">
        <v>4.7887723008239798</v>
      </c>
      <c r="D18" s="1">
        <v>4.8600000000000003</v>
      </c>
      <c r="E18" s="1">
        <v>2.4300000000000002</v>
      </c>
    </row>
    <row r="19" spans="1:5" x14ac:dyDescent="0.85">
      <c r="A19">
        <v>54</v>
      </c>
      <c r="B19" s="1">
        <v>54.1469792903357</v>
      </c>
      <c r="C19" s="1">
        <v>4.7880576268253803</v>
      </c>
      <c r="D19" s="1">
        <v>4.8600000000000003</v>
      </c>
      <c r="E19" s="1">
        <v>2.4300000000000002</v>
      </c>
    </row>
    <row r="20" spans="1:5" x14ac:dyDescent="0.85">
      <c r="A20">
        <v>57</v>
      </c>
      <c r="B20" s="1">
        <v>56.8431151608685</v>
      </c>
      <c r="C20" s="1">
        <v>4.7874322870765997</v>
      </c>
      <c r="D20" s="1">
        <v>4.8600000000000003</v>
      </c>
      <c r="E20" s="1">
        <v>2.4300000000000002</v>
      </c>
    </row>
    <row r="21" spans="1:5" x14ac:dyDescent="0.85">
      <c r="A21">
        <v>60</v>
      </c>
      <c r="B21" s="1">
        <v>59.796025876214003</v>
      </c>
      <c r="C21" s="1">
        <v>4.7867473911612803</v>
      </c>
      <c r="D21" s="1">
        <v>4.8600000000000003</v>
      </c>
      <c r="E21" s="1">
        <v>2.4300000000000002</v>
      </c>
    </row>
    <row r="22" spans="1:5" x14ac:dyDescent="0.85">
      <c r="A22">
        <v>63</v>
      </c>
      <c r="B22" s="1">
        <v>62.877422751820902</v>
      </c>
      <c r="C22" s="1">
        <v>4.7909766626200998</v>
      </c>
      <c r="D22" s="1">
        <v>4.8600000000000003</v>
      </c>
      <c r="E22" s="1">
        <v>2.4300000000000002</v>
      </c>
    </row>
    <row r="23" spans="1:5" x14ac:dyDescent="0.85">
      <c r="A23">
        <v>66</v>
      </c>
      <c r="B23" s="1">
        <v>65.830333467166398</v>
      </c>
      <c r="C23" s="1">
        <v>4.7902917667047697</v>
      </c>
      <c r="D23" s="1">
        <v>4.8600000000000003</v>
      </c>
      <c r="E23" s="1">
        <v>2.4300000000000002</v>
      </c>
    </row>
    <row r="24" spans="1:5" x14ac:dyDescent="0.85">
      <c r="A24">
        <v>69</v>
      </c>
      <c r="B24" s="1">
        <v>68.783244182511893</v>
      </c>
      <c r="C24" s="1">
        <v>4.7896068707894504</v>
      </c>
      <c r="D24" s="1">
        <v>4.8600000000000003</v>
      </c>
      <c r="E24" s="1">
        <v>2.4300000000000002</v>
      </c>
    </row>
    <row r="25" spans="1:5" x14ac:dyDescent="0.85">
      <c r="A25">
        <v>72</v>
      </c>
      <c r="B25" s="1">
        <v>71.864542320263695</v>
      </c>
      <c r="C25" s="1">
        <v>4.78889219679085</v>
      </c>
      <c r="D25" s="1">
        <v>4.8600000000000003</v>
      </c>
      <c r="E25" s="1">
        <v>2.4300000000000002</v>
      </c>
    </row>
    <row r="26" spans="1:5" x14ac:dyDescent="0.85">
      <c r="A26">
        <v>75</v>
      </c>
      <c r="B26" s="1">
        <v>74.817453035609105</v>
      </c>
      <c r="C26" s="1">
        <v>4.7882073008755199</v>
      </c>
      <c r="D26" s="1">
        <v>4.8600000000000003</v>
      </c>
      <c r="E26" s="1">
        <v>2.4300000000000002</v>
      </c>
    </row>
    <row r="27" spans="1:5" x14ac:dyDescent="0.85">
      <c r="A27">
        <v>78</v>
      </c>
      <c r="B27" s="1">
        <v>77.898849911216004</v>
      </c>
      <c r="C27" s="1">
        <v>4.7924365723343403</v>
      </c>
      <c r="D27" s="1">
        <v>4.8600000000000003</v>
      </c>
      <c r="E27" s="1">
        <v>2.4300000000000002</v>
      </c>
    </row>
    <row r="28" spans="1:5" x14ac:dyDescent="0.85">
      <c r="A28">
        <v>81</v>
      </c>
      <c r="B28" s="1">
        <v>80.980148048967806</v>
      </c>
      <c r="C28" s="1">
        <v>4.7917218983357399</v>
      </c>
      <c r="D28" s="1">
        <v>4.8600000000000003</v>
      </c>
      <c r="E28" s="1">
        <v>2.4300000000000002</v>
      </c>
    </row>
    <row r="29" spans="1:5" x14ac:dyDescent="0.85">
      <c r="A29">
        <v>84</v>
      </c>
      <c r="B29" s="1">
        <v>84.061248711009497</v>
      </c>
      <c r="C29" s="1">
        <v>4.7811193334223097</v>
      </c>
      <c r="D29" s="1">
        <v>4.8600000000000003</v>
      </c>
      <c r="E29" s="1">
        <v>2.4300000000000002</v>
      </c>
    </row>
    <row r="30" spans="1:5" x14ac:dyDescent="0.85">
      <c r="A30">
        <v>87</v>
      </c>
      <c r="B30" s="1">
        <v>87.014258164210105</v>
      </c>
      <c r="C30" s="1">
        <v>4.7853783829644003</v>
      </c>
      <c r="D30" s="1">
        <v>4.8600000000000003</v>
      </c>
      <c r="E30" s="1">
        <v>2.4300000000000002</v>
      </c>
    </row>
    <row r="31" spans="1:5" x14ac:dyDescent="0.85">
      <c r="A31">
        <v>90</v>
      </c>
      <c r="B31" s="1">
        <v>90.095655039816904</v>
      </c>
      <c r="C31" s="1">
        <v>4.7896076544232198</v>
      </c>
      <c r="D31" s="1">
        <v>4.8600000000000003</v>
      </c>
      <c r="E31" s="1">
        <v>2.4300000000000002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1F0A-DE8D-4164-AD95-F7E404E4F5D8}">
  <dimension ref="A1:D61"/>
  <sheetViews>
    <sheetView workbookViewId="0">
      <selection activeCell="E1" sqref="E1"/>
    </sheetView>
  </sheetViews>
  <sheetFormatPr defaultRowHeight="17.7" x14ac:dyDescent="0.85"/>
  <sheetData>
    <row r="1" spans="1:4" x14ac:dyDescent="0.85">
      <c r="A1">
        <v>0</v>
      </c>
      <c r="B1">
        <v>0</v>
      </c>
      <c r="C1">
        <v>0</v>
      </c>
      <c r="D1">
        <v>0</v>
      </c>
    </row>
    <row r="2" spans="1:4" x14ac:dyDescent="0.85">
      <c r="A2">
        <v>3</v>
      </c>
      <c r="B2">
        <v>2.9970933158848401</v>
      </c>
      <c r="C2">
        <v>6.3583715019126198E-3</v>
      </c>
      <c r="D2">
        <v>5.1836999999999994E-3</v>
      </c>
    </row>
    <row r="3" spans="1:4" x14ac:dyDescent="0.85">
      <c r="A3">
        <v>6</v>
      </c>
      <c r="B3">
        <v>6.1096990134890303</v>
      </c>
      <c r="C3">
        <v>1.61254383095094E-2</v>
      </c>
      <c r="D3">
        <v>1.6309199999999999E-2</v>
      </c>
    </row>
    <row r="4" spans="1:4" x14ac:dyDescent="0.85">
      <c r="A4">
        <v>9</v>
      </c>
      <c r="B4">
        <v>9.0116644856049906</v>
      </c>
      <c r="C4">
        <v>3.3993890930138902E-2</v>
      </c>
      <c r="D4">
        <v>3.27123E-2</v>
      </c>
    </row>
    <row r="5" spans="1:4" x14ac:dyDescent="0.85">
      <c r="A5">
        <v>12</v>
      </c>
      <c r="B5">
        <v>12.023196849204799</v>
      </c>
      <c r="C5">
        <v>5.1008531306623701E-2</v>
      </c>
      <c r="D5">
        <v>5.3728799999999993E-2</v>
      </c>
    </row>
    <row r="6" spans="1:4" x14ac:dyDescent="0.85">
      <c r="A6">
        <v>15</v>
      </c>
      <c r="B6">
        <v>14.939884487618301</v>
      </c>
      <c r="C6">
        <v>7.9959503556808295E-2</v>
      </c>
      <c r="D6">
        <v>7.8694500000000001E-2</v>
      </c>
    </row>
    <row r="7" spans="1:4" x14ac:dyDescent="0.85">
      <c r="A7">
        <v>18</v>
      </c>
      <c r="B7">
        <v>17.9633078316891</v>
      </c>
      <c r="C7">
        <v>0.10592540978793399</v>
      </c>
      <c r="D7">
        <v>0.10694519999999999</v>
      </c>
    </row>
    <row r="8" spans="1:4" x14ac:dyDescent="0.85">
      <c r="A8">
        <v>21</v>
      </c>
      <c r="B8">
        <v>20.9974896819005</v>
      </c>
      <c r="C8">
        <v>0.139990080363734</v>
      </c>
      <c r="D8">
        <v>0.13781669999999999</v>
      </c>
    </row>
    <row r="9" spans="1:4" x14ac:dyDescent="0.85">
      <c r="A9">
        <v>24</v>
      </c>
      <c r="B9">
        <v>23.694477300181202</v>
      </c>
      <c r="C9">
        <v>0.17022242634722501</v>
      </c>
      <c r="D9">
        <v>0.17064480000000001</v>
      </c>
    </row>
    <row r="10" spans="1:4" x14ac:dyDescent="0.85">
      <c r="A10">
        <v>27</v>
      </c>
      <c r="B10">
        <v>26.9670449969801</v>
      </c>
      <c r="C10">
        <v>0.21707199810415401</v>
      </c>
      <c r="D10">
        <v>0.20476529999999998</v>
      </c>
    </row>
    <row r="11" spans="1:4" x14ac:dyDescent="0.85">
      <c r="A11">
        <v>30</v>
      </c>
      <c r="B11">
        <v>30.097204046708299</v>
      </c>
      <c r="C11">
        <v>0.24005283831622001</v>
      </c>
      <c r="D11">
        <v>0.24</v>
      </c>
    </row>
    <row r="12" spans="1:4" x14ac:dyDescent="0.85">
      <c r="A12">
        <v>33</v>
      </c>
      <c r="B12">
        <v>32.864971310650297</v>
      </c>
      <c r="C12">
        <v>0.24023319533923901</v>
      </c>
      <c r="D12">
        <v>0.24</v>
      </c>
    </row>
    <row r="13" spans="1:4" x14ac:dyDescent="0.85">
      <c r="A13">
        <v>36</v>
      </c>
      <c r="B13">
        <v>36.960281608616903</v>
      </c>
      <c r="C13">
        <v>0.23975844741963601</v>
      </c>
      <c r="D13">
        <v>0.24</v>
      </c>
    </row>
    <row r="14" spans="1:4" x14ac:dyDescent="0.85">
      <c r="A14">
        <v>39</v>
      </c>
      <c r="B14">
        <v>40.060430088584702</v>
      </c>
      <c r="C14">
        <v>0.24014799761760999</v>
      </c>
      <c r="D14">
        <v>0.24</v>
      </c>
    </row>
    <row r="15" spans="1:4" x14ac:dyDescent="0.85">
      <c r="A15">
        <v>42</v>
      </c>
      <c r="B15">
        <v>42.606515502315297</v>
      </c>
      <c r="C15">
        <v>0.240117850731495</v>
      </c>
      <c r="D15">
        <v>0.24</v>
      </c>
    </row>
    <row r="16" spans="1:4" x14ac:dyDescent="0.85">
      <c r="A16">
        <v>45</v>
      </c>
      <c r="B16">
        <v>47.366588232333399</v>
      </c>
      <c r="C16">
        <v>0.24006148916180101</v>
      </c>
      <c r="D16">
        <v>0.24</v>
      </c>
    </row>
    <row r="17" spans="1:4" x14ac:dyDescent="0.85">
      <c r="A17">
        <v>48</v>
      </c>
      <c r="B17">
        <v>49.8011249245017</v>
      </c>
      <c r="C17">
        <v>0.23939327687739101</v>
      </c>
      <c r="D17">
        <v>0.24</v>
      </c>
    </row>
    <row r="18" spans="1:4" x14ac:dyDescent="0.85">
      <c r="A18">
        <v>51</v>
      </c>
      <c r="B18">
        <v>52.569458425609</v>
      </c>
      <c r="C18">
        <v>0.23999988465539199</v>
      </c>
      <c r="D18">
        <v>0.24</v>
      </c>
    </row>
    <row r="19" spans="1:4" x14ac:dyDescent="0.85">
      <c r="A19">
        <v>54</v>
      </c>
      <c r="B19">
        <v>56.001138765854598</v>
      </c>
      <c r="C19">
        <v>0.23995925189584599</v>
      </c>
      <c r="D19">
        <v>0.24</v>
      </c>
    </row>
    <row r="20" spans="1:4" x14ac:dyDescent="0.85">
      <c r="A20">
        <v>57</v>
      </c>
      <c r="B20">
        <v>58.657923545399598</v>
      </c>
      <c r="C20">
        <v>0.239927794275552</v>
      </c>
      <c r="D20">
        <v>0.24</v>
      </c>
    </row>
    <row r="21" spans="1:4" x14ac:dyDescent="0.85">
      <c r="A21">
        <v>60</v>
      </c>
      <c r="B21">
        <v>61.646806422387797</v>
      </c>
      <c r="C21">
        <v>0.239892404452721</v>
      </c>
      <c r="D21">
        <v>0.24</v>
      </c>
    </row>
    <row r="22" spans="1:4" x14ac:dyDescent="0.85">
      <c r="A22">
        <v>63</v>
      </c>
      <c r="B22">
        <v>64.414290567747102</v>
      </c>
      <c r="C22">
        <v>0.23985963609824801</v>
      </c>
      <c r="D22">
        <v>0.24</v>
      </c>
    </row>
    <row r="23" spans="1:4" x14ac:dyDescent="0.85">
      <c r="A23">
        <v>66</v>
      </c>
      <c r="B23">
        <v>67.514439047714902</v>
      </c>
      <c r="C23">
        <v>0.24024918629622199</v>
      </c>
      <c r="D23">
        <v>0.24</v>
      </c>
    </row>
    <row r="24" spans="1:4" x14ac:dyDescent="0.85">
      <c r="A24">
        <v>69</v>
      </c>
      <c r="D24">
        <v>0.24</v>
      </c>
    </row>
    <row r="25" spans="1:4" x14ac:dyDescent="0.85">
      <c r="A25">
        <v>72</v>
      </c>
      <c r="B25">
        <v>71.168084356754605</v>
      </c>
      <c r="C25">
        <v>0.24063218282330001</v>
      </c>
      <c r="D25">
        <v>0.24</v>
      </c>
    </row>
    <row r="26" spans="1:4" x14ac:dyDescent="0.85">
      <c r="A26">
        <v>75</v>
      </c>
      <c r="B26">
        <v>73.935568502113995</v>
      </c>
      <c r="C26">
        <v>0.24059941446882799</v>
      </c>
      <c r="D26">
        <v>0.24</v>
      </c>
    </row>
    <row r="27" spans="1:4" x14ac:dyDescent="0.85">
      <c r="A27">
        <v>78</v>
      </c>
      <c r="B27">
        <v>77.810046305617107</v>
      </c>
      <c r="C27">
        <v>0.24055353877256599</v>
      </c>
      <c r="D27">
        <v>0.24</v>
      </c>
    </row>
    <row r="28" spans="1:4" x14ac:dyDescent="0.85">
      <c r="A28">
        <v>81</v>
      </c>
      <c r="B28">
        <v>80.466831085162099</v>
      </c>
      <c r="C28">
        <v>0.240522081152272</v>
      </c>
      <c r="D28">
        <v>0.24</v>
      </c>
    </row>
    <row r="29" spans="1:4" x14ac:dyDescent="0.85">
      <c r="A29">
        <v>84</v>
      </c>
      <c r="B29">
        <v>83.565563972216594</v>
      </c>
      <c r="C29">
        <v>0.239846004462788</v>
      </c>
      <c r="D29">
        <v>0.24</v>
      </c>
    </row>
    <row r="30" spans="1:4" x14ac:dyDescent="0.85">
      <c r="A30">
        <v>87</v>
      </c>
      <c r="B30">
        <v>86.333048117575999</v>
      </c>
      <c r="C30">
        <v>0.23981323610831501</v>
      </c>
      <c r="D30">
        <v>0.24</v>
      </c>
    </row>
    <row r="31" spans="1:4" x14ac:dyDescent="0.85">
      <c r="A31">
        <v>90</v>
      </c>
      <c r="B31">
        <v>89.875710942218603</v>
      </c>
      <c r="C31">
        <v>0.23998441799208101</v>
      </c>
      <c r="D31">
        <v>0.24</v>
      </c>
    </row>
    <row r="32" spans="1:4" x14ac:dyDescent="0.85">
      <c r="A32">
        <v>93</v>
      </c>
      <c r="B32">
        <v>92.814198711495905</v>
      </c>
      <c r="C32">
        <v>0.202012710975773</v>
      </c>
      <c r="D32">
        <f t="shared" ref="D32:D61" si="0">2.6459*10^11*B32^(-6.1599)</f>
        <v>0.2005697174501111</v>
      </c>
    </row>
    <row r="33" spans="1:4" x14ac:dyDescent="0.85">
      <c r="A33">
        <v>96</v>
      </c>
      <c r="B33">
        <v>95.870463811153598</v>
      </c>
      <c r="C33">
        <v>0.169367827662573</v>
      </c>
      <c r="D33">
        <f t="shared" si="0"/>
        <v>0.16428316135898594</v>
      </c>
    </row>
    <row r="34" spans="1:4" x14ac:dyDescent="0.85">
      <c r="A34">
        <v>99</v>
      </c>
      <c r="B34">
        <v>98.823107509563101</v>
      </c>
      <c r="C34">
        <v>0.14205238952083801</v>
      </c>
      <c r="D34">
        <f t="shared" si="0"/>
        <v>0.136283887633111</v>
      </c>
    </row>
    <row r="35" spans="1:4" x14ac:dyDescent="0.85">
      <c r="A35">
        <v>102</v>
      </c>
      <c r="B35">
        <v>101.669298620898</v>
      </c>
      <c r="C35">
        <v>0.11793514277565301</v>
      </c>
      <c r="D35">
        <f t="shared" si="0"/>
        <v>0.1144154854783013</v>
      </c>
    </row>
    <row r="36" spans="1:4" x14ac:dyDescent="0.85">
      <c r="A36">
        <v>105</v>
      </c>
      <c r="B36">
        <v>104.743400191262</v>
      </c>
      <c r="C36">
        <v>9.87171582444131E-2</v>
      </c>
      <c r="D36">
        <f t="shared" si="0"/>
        <v>9.5234688289470487E-2</v>
      </c>
    </row>
    <row r="37" spans="1:4" x14ac:dyDescent="0.85">
      <c r="A37">
        <v>108</v>
      </c>
      <c r="B37">
        <v>107.821748540366</v>
      </c>
      <c r="C37">
        <v>8.2696054375545294E-2</v>
      </c>
      <c r="D37">
        <f t="shared" si="0"/>
        <v>7.967195145717279E-2</v>
      </c>
    </row>
    <row r="38" spans="1:4" x14ac:dyDescent="0.85">
      <c r="A38">
        <v>111</v>
      </c>
      <c r="B38">
        <v>110.792511828065</v>
      </c>
      <c r="C38">
        <v>6.9020640393262195E-2</v>
      </c>
      <c r="D38">
        <f t="shared" si="0"/>
        <v>6.7389736854698054E-2</v>
      </c>
    </row>
    <row r="39" spans="1:4" x14ac:dyDescent="0.85">
      <c r="A39">
        <v>114</v>
      </c>
      <c r="B39">
        <v>113.654557580028</v>
      </c>
      <c r="C39">
        <v>5.6838414787598199E-2</v>
      </c>
      <c r="D39">
        <f t="shared" si="0"/>
        <v>5.75922377781347E-2</v>
      </c>
    </row>
    <row r="40" spans="1:4" x14ac:dyDescent="0.85">
      <c r="A40">
        <v>117</v>
      </c>
      <c r="B40">
        <v>116.74224884236</v>
      </c>
      <c r="C40">
        <v>4.7850448375947902E-2</v>
      </c>
      <c r="D40">
        <f t="shared" si="0"/>
        <v>4.8826470334537686E-2</v>
      </c>
    </row>
    <row r="41" spans="1:4" x14ac:dyDescent="0.85">
      <c r="A41">
        <v>120</v>
      </c>
      <c r="B41">
        <v>119.72065633179</v>
      </c>
      <c r="C41">
        <v>3.9929419585933802E-2</v>
      </c>
      <c r="D41">
        <f t="shared" si="0"/>
        <v>4.180802524159774E-2</v>
      </c>
    </row>
    <row r="42" spans="1:4" x14ac:dyDescent="0.85">
      <c r="A42">
        <v>123</v>
      </c>
      <c r="B42">
        <v>122.812594372861</v>
      </c>
      <c r="C42">
        <v>3.41383338366553E-2</v>
      </c>
      <c r="D42">
        <f t="shared" si="0"/>
        <v>3.5731072404908283E-2</v>
      </c>
    </row>
    <row r="43" spans="1:4" x14ac:dyDescent="0.85">
      <c r="A43">
        <v>126</v>
      </c>
      <c r="B43">
        <v>125.684832393799</v>
      </c>
      <c r="C43">
        <v>2.9628621820683199E-2</v>
      </c>
      <c r="D43">
        <f t="shared" si="0"/>
        <v>3.0988522738515125E-2</v>
      </c>
    </row>
    <row r="44" spans="1:4" x14ac:dyDescent="0.85">
      <c r="A44">
        <v>129</v>
      </c>
      <c r="B44">
        <v>128.890867223676</v>
      </c>
      <c r="C44">
        <v>2.6393729867123E-2</v>
      </c>
      <c r="D44">
        <f t="shared" si="0"/>
        <v>2.6534812945496266E-2</v>
      </c>
    </row>
    <row r="45" spans="1:4" x14ac:dyDescent="0.85">
      <c r="A45">
        <v>132</v>
      </c>
      <c r="B45">
        <v>131.76395460036201</v>
      </c>
      <c r="C45">
        <v>2.2523393983625298E-2</v>
      </c>
      <c r="D45">
        <f t="shared" si="0"/>
        <v>2.3165315648225528E-2</v>
      </c>
    </row>
    <row r="46" spans="1:4" x14ac:dyDescent="0.85">
      <c r="A46">
        <v>135</v>
      </c>
      <c r="B46">
        <v>134.968007600161</v>
      </c>
      <c r="C46">
        <v>1.7796624387624999E-2</v>
      </c>
      <c r="D46">
        <f t="shared" si="0"/>
        <v>1.9978574352619894E-2</v>
      </c>
    </row>
    <row r="47" spans="1:4" x14ac:dyDescent="0.85">
      <c r="A47">
        <v>138</v>
      </c>
      <c r="B47">
        <v>138.06532489430199</v>
      </c>
      <c r="C47">
        <v>1.6054920810683802E-2</v>
      </c>
      <c r="D47">
        <f t="shared" si="0"/>
        <v>1.7372654408486263E-2</v>
      </c>
    </row>
    <row r="48" spans="1:4" x14ac:dyDescent="0.85">
      <c r="A48">
        <v>141</v>
      </c>
      <c r="B48">
        <v>141.16207595127801</v>
      </c>
      <c r="C48">
        <v>1.38869664787598E-2</v>
      </c>
      <c r="D48">
        <f t="shared" si="0"/>
        <v>1.5153930566548488E-2</v>
      </c>
    </row>
    <row r="49" spans="1:4" x14ac:dyDescent="0.85">
      <c r="A49">
        <v>144</v>
      </c>
      <c r="B49">
        <v>144.14926011677099</v>
      </c>
      <c r="C49">
        <v>1.25728243909805E-2</v>
      </c>
      <c r="D49">
        <f t="shared" si="0"/>
        <v>1.3320018104072547E-2</v>
      </c>
    </row>
    <row r="50" spans="1:4" x14ac:dyDescent="0.85">
      <c r="A50">
        <v>147</v>
      </c>
      <c r="B50">
        <v>147.13616116367999</v>
      </c>
      <c r="C50">
        <v>1.10455569257097E-2</v>
      </c>
      <c r="D50">
        <f t="shared" si="0"/>
        <v>1.1739201714848164E-2</v>
      </c>
    </row>
    <row r="51" spans="1:4" x14ac:dyDescent="0.85">
      <c r="A51">
        <v>150</v>
      </c>
      <c r="B51">
        <v>150.12419468492101</v>
      </c>
      <c r="C51">
        <v>1.0370790970404701E-2</v>
      </c>
      <c r="D51">
        <f t="shared" si="0"/>
        <v>1.037181630840771E-2</v>
      </c>
    </row>
    <row r="52" spans="1:4" x14ac:dyDescent="0.85">
      <c r="A52">
        <v>153</v>
      </c>
      <c r="B52">
        <v>152.889980118784</v>
      </c>
      <c r="C52">
        <v>9.0592703509831604E-3</v>
      </c>
      <c r="D52">
        <f t="shared" si="0"/>
        <v>9.2686626440148922E-3</v>
      </c>
    </row>
    <row r="53" spans="1:4" x14ac:dyDescent="0.85">
      <c r="A53">
        <v>156</v>
      </c>
      <c r="B53">
        <v>155.87716428427601</v>
      </c>
      <c r="C53">
        <v>7.7451282632038099E-3</v>
      </c>
      <c r="D53">
        <f t="shared" si="0"/>
        <v>8.2272089238589127E-3</v>
      </c>
    </row>
    <row r="54" spans="1:4" x14ac:dyDescent="0.85">
      <c r="A54">
        <v>159</v>
      </c>
      <c r="B54">
        <v>158.975614052748</v>
      </c>
      <c r="C54">
        <v>6.8559261962284398E-3</v>
      </c>
      <c r="D54">
        <f t="shared" si="0"/>
        <v>7.2878195487852959E-3</v>
      </c>
    </row>
    <row r="55" spans="1:4" x14ac:dyDescent="0.85">
      <c r="A55">
        <v>162</v>
      </c>
      <c r="B55">
        <v>161.96336445540601</v>
      </c>
      <c r="C55">
        <v>5.9680348634319801E-3</v>
      </c>
      <c r="D55">
        <f t="shared" si="0"/>
        <v>6.4981082676829668E-3</v>
      </c>
    </row>
    <row r="56" spans="1:4" x14ac:dyDescent="0.85">
      <c r="A56">
        <v>165</v>
      </c>
      <c r="B56">
        <v>165.06294669820801</v>
      </c>
      <c r="C56">
        <v>5.93133430642239E-3</v>
      </c>
      <c r="D56">
        <f t="shared" si="0"/>
        <v>5.7819414977106293E-3</v>
      </c>
    </row>
    <row r="57" spans="1:4" x14ac:dyDescent="0.85">
      <c r="A57">
        <v>168</v>
      </c>
      <c r="B57">
        <v>167.719448359171</v>
      </c>
      <c r="C57">
        <v>5.6867513086369999E-3</v>
      </c>
      <c r="D57">
        <f t="shared" si="0"/>
        <v>5.2403703981846027E-3</v>
      </c>
    </row>
    <row r="58" spans="1:4" x14ac:dyDescent="0.85">
      <c r="A58">
        <v>171</v>
      </c>
      <c r="B58">
        <v>170.59678251459599</v>
      </c>
      <c r="C58">
        <v>5.0132960875109104E-3</v>
      </c>
      <c r="D58">
        <f t="shared" si="0"/>
        <v>4.7190684126395058E-3</v>
      </c>
    </row>
    <row r="59" spans="1:4" x14ac:dyDescent="0.85">
      <c r="A59">
        <v>174</v>
      </c>
      <c r="B59">
        <v>173.91719725186201</v>
      </c>
      <c r="C59">
        <v>4.5477233071605904E-3</v>
      </c>
      <c r="D59">
        <f t="shared" si="0"/>
        <v>4.1907088411405214E-3</v>
      </c>
    </row>
    <row r="60" spans="1:4" x14ac:dyDescent="0.85">
      <c r="A60">
        <v>177</v>
      </c>
      <c r="B60">
        <v>177.01649637608199</v>
      </c>
      <c r="C60">
        <v>4.2978973726595501E-3</v>
      </c>
      <c r="D60">
        <f t="shared" si="0"/>
        <v>3.7586646995270397E-3</v>
      </c>
    </row>
    <row r="61" spans="1:4" x14ac:dyDescent="0.85">
      <c r="A61">
        <v>180</v>
      </c>
      <c r="B61">
        <v>180.00452989732199</v>
      </c>
      <c r="C61">
        <v>3.6231314173545402E-3</v>
      </c>
      <c r="D61">
        <f t="shared" si="0"/>
        <v>3.3904160738709465E-3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8AB-7EE5-4172-A246-4252D4ECDB26}">
  <dimension ref="A1:C31"/>
  <sheetViews>
    <sheetView topLeftCell="A6" workbookViewId="0">
      <selection activeCell="C2" sqref="C2:C31"/>
    </sheetView>
  </sheetViews>
  <sheetFormatPr defaultRowHeight="17.7" x14ac:dyDescent="0.85"/>
  <cols>
    <col min="3" max="3" width="13.234375" bestFit="1" customWidth="1"/>
    <col min="5" max="5" width="9.33203125" bestFit="1" customWidth="1"/>
  </cols>
  <sheetData>
    <row r="1" spans="1:3" x14ac:dyDescent="0.85">
      <c r="A1">
        <v>90</v>
      </c>
      <c r="B1">
        <v>0.23998441799208101</v>
      </c>
      <c r="C1">
        <f>2.6459*10^11*A1^(-6.1599)</f>
        <v>0.24245714806028301</v>
      </c>
    </row>
    <row r="2" spans="1:3" x14ac:dyDescent="0.85">
      <c r="A2">
        <v>93</v>
      </c>
      <c r="B2">
        <v>0.202012710975773</v>
      </c>
      <c r="C2">
        <f t="shared" ref="C2:C31" si="0">2.6459*10^11*A2^(-6.1599)</f>
        <v>0.19811406607896662</v>
      </c>
    </row>
    <row r="3" spans="1:3" x14ac:dyDescent="0.85">
      <c r="A3">
        <v>96</v>
      </c>
      <c r="B3">
        <v>0.169367827662573</v>
      </c>
      <c r="C3">
        <f t="shared" si="0"/>
        <v>0.16292242208404589</v>
      </c>
    </row>
    <row r="4" spans="1:3" x14ac:dyDescent="0.85">
      <c r="A4">
        <v>99</v>
      </c>
      <c r="B4">
        <v>0.14205238952083801</v>
      </c>
      <c r="C4">
        <f t="shared" si="0"/>
        <v>0.13479078143462786</v>
      </c>
    </row>
    <row r="5" spans="1:3" x14ac:dyDescent="0.85">
      <c r="A5">
        <v>102</v>
      </c>
      <c r="B5">
        <v>0.11793514277565301</v>
      </c>
      <c r="C5">
        <f t="shared" si="0"/>
        <v>0.11214947070756348</v>
      </c>
    </row>
    <row r="6" spans="1:3" x14ac:dyDescent="0.85">
      <c r="A6">
        <v>105</v>
      </c>
      <c r="B6">
        <v>9.87171582444131E-2</v>
      </c>
      <c r="C6">
        <f t="shared" si="0"/>
        <v>9.3810070632118686E-2</v>
      </c>
    </row>
    <row r="7" spans="1:3" x14ac:dyDescent="0.85">
      <c r="A7">
        <v>108</v>
      </c>
      <c r="B7">
        <v>8.2696054375545294E-2</v>
      </c>
      <c r="C7">
        <f t="shared" si="0"/>
        <v>7.8865386289474648E-2</v>
      </c>
    </row>
    <row r="8" spans="1:3" x14ac:dyDescent="0.85">
      <c r="A8">
        <v>111</v>
      </c>
      <c r="B8">
        <v>6.9020640393262195E-2</v>
      </c>
      <c r="C8">
        <f t="shared" si="0"/>
        <v>6.6617512067323748E-2</v>
      </c>
    </row>
    <row r="9" spans="1:3" x14ac:dyDescent="0.85">
      <c r="A9">
        <v>114</v>
      </c>
      <c r="B9">
        <v>5.6838414787598199E-2</v>
      </c>
      <c r="C9">
        <f t="shared" si="0"/>
        <v>5.652560671835738E-2</v>
      </c>
    </row>
    <row r="10" spans="1:3" x14ac:dyDescent="0.85">
      <c r="A10">
        <v>117</v>
      </c>
      <c r="B10">
        <v>4.7850448375947902E-2</v>
      </c>
      <c r="C10">
        <f t="shared" si="0"/>
        <v>4.8167636471572885E-2</v>
      </c>
    </row>
    <row r="11" spans="1:3" x14ac:dyDescent="0.85">
      <c r="A11">
        <v>120</v>
      </c>
      <c r="B11">
        <v>3.9929419585933802E-2</v>
      </c>
      <c r="C11">
        <f t="shared" si="0"/>
        <v>4.1212111748729449E-2</v>
      </c>
    </row>
    <row r="12" spans="1:3" x14ac:dyDescent="0.85">
      <c r="A12">
        <v>123</v>
      </c>
      <c r="B12">
        <v>3.41383338366553E-2</v>
      </c>
      <c r="C12">
        <f t="shared" si="0"/>
        <v>3.5397038673220631E-2</v>
      </c>
    </row>
    <row r="13" spans="1:3" x14ac:dyDescent="0.85">
      <c r="A13">
        <v>126</v>
      </c>
      <c r="B13">
        <v>2.9628621820683199E-2</v>
      </c>
      <c r="C13">
        <f t="shared" si="0"/>
        <v>3.0514123907806823E-2</v>
      </c>
    </row>
    <row r="14" spans="1:3" x14ac:dyDescent="0.85">
      <c r="A14">
        <v>129</v>
      </c>
      <c r="B14">
        <v>2.6393729867123E-2</v>
      </c>
      <c r="C14">
        <f t="shared" si="0"/>
        <v>2.6396835733070296E-2</v>
      </c>
    </row>
    <row r="15" spans="1:3" x14ac:dyDescent="0.85">
      <c r="A15">
        <v>132</v>
      </c>
      <c r="B15">
        <v>2.2523393983625298E-2</v>
      </c>
      <c r="C15">
        <f t="shared" si="0"/>
        <v>2.2911317697267015E-2</v>
      </c>
    </row>
    <row r="16" spans="1:3" x14ac:dyDescent="0.85">
      <c r="A16">
        <v>135</v>
      </c>
      <c r="B16">
        <v>1.7796624387624999E-2</v>
      </c>
      <c r="C16">
        <f t="shared" si="0"/>
        <v>1.994942790128584E-2</v>
      </c>
    </row>
    <row r="17" spans="1:3" x14ac:dyDescent="0.85">
      <c r="A17">
        <v>138</v>
      </c>
      <c r="B17">
        <v>1.6054920810683802E-2</v>
      </c>
      <c r="C17">
        <f t="shared" si="0"/>
        <v>1.7423373315463762E-2</v>
      </c>
    </row>
    <row r="18" spans="1:3" x14ac:dyDescent="0.85">
      <c r="A18">
        <v>141</v>
      </c>
      <c r="B18">
        <v>1.38869664787598E-2</v>
      </c>
      <c r="C18">
        <f t="shared" si="0"/>
        <v>1.5261548959505414E-2</v>
      </c>
    </row>
    <row r="19" spans="1:3" x14ac:dyDescent="0.85">
      <c r="A19">
        <v>144</v>
      </c>
      <c r="B19">
        <v>1.25728243909805E-2</v>
      </c>
      <c r="C19">
        <f t="shared" si="0"/>
        <v>1.3405293013099459E-2</v>
      </c>
    </row>
    <row r="20" spans="1:3" x14ac:dyDescent="0.85">
      <c r="A20">
        <v>147</v>
      </c>
      <c r="B20">
        <v>1.10455569257097E-2</v>
      </c>
      <c r="C20">
        <f t="shared" si="0"/>
        <v>1.1806342448426627E-2</v>
      </c>
    </row>
    <row r="21" spans="1:3" x14ac:dyDescent="0.85">
      <c r="A21">
        <v>150</v>
      </c>
      <c r="B21">
        <v>1.0370790970404701E-2</v>
      </c>
      <c r="C21">
        <f t="shared" si="0"/>
        <v>1.042482755328542E-2</v>
      </c>
    </row>
    <row r="22" spans="1:3" x14ac:dyDescent="0.85">
      <c r="A22">
        <v>153</v>
      </c>
      <c r="B22">
        <v>9.0592703509831604E-3</v>
      </c>
      <c r="C22">
        <f t="shared" si="0"/>
        <v>9.2276833161941876E-3</v>
      </c>
    </row>
    <row r="23" spans="1:3" x14ac:dyDescent="0.85">
      <c r="A23">
        <v>156</v>
      </c>
      <c r="B23">
        <v>7.7451282632038099E-3</v>
      </c>
      <c r="C23">
        <f t="shared" si="0"/>
        <v>8.1873849990393814E-3</v>
      </c>
    </row>
    <row r="24" spans="1:3" x14ac:dyDescent="0.85">
      <c r="A24">
        <v>159</v>
      </c>
      <c r="B24">
        <v>6.8559261962284398E-3</v>
      </c>
      <c r="C24">
        <f t="shared" si="0"/>
        <v>7.2809371166868923E-3</v>
      </c>
    </row>
    <row r="25" spans="1:3" x14ac:dyDescent="0.85">
      <c r="A25">
        <v>162</v>
      </c>
      <c r="B25">
        <v>5.9680348634319801E-3</v>
      </c>
      <c r="C25">
        <f t="shared" si="0"/>
        <v>6.4890614703500375E-3</v>
      </c>
    </row>
    <row r="26" spans="1:3" x14ac:dyDescent="0.85">
      <c r="A26">
        <v>165</v>
      </c>
      <c r="B26">
        <v>5.93133430642239E-3</v>
      </c>
      <c r="C26">
        <f t="shared" si="0"/>
        <v>5.7955422781728353E-3</v>
      </c>
    </row>
    <row r="27" spans="1:3" x14ac:dyDescent="0.85">
      <c r="A27">
        <v>168</v>
      </c>
      <c r="B27">
        <v>5.6867513086369999E-3</v>
      </c>
      <c r="C27">
        <f t="shared" si="0"/>
        <v>5.1866958531181029E-3</v>
      </c>
    </row>
    <row r="28" spans="1:3" x14ac:dyDescent="0.85">
      <c r="A28">
        <v>171</v>
      </c>
      <c r="B28">
        <v>5.0132960875109104E-3</v>
      </c>
      <c r="C28">
        <f t="shared" si="0"/>
        <v>4.6509394539439855E-3</v>
      </c>
    </row>
    <row r="29" spans="1:3" x14ac:dyDescent="0.85">
      <c r="A29">
        <v>174</v>
      </c>
      <c r="B29">
        <v>4.5477233071605904E-3</v>
      </c>
      <c r="C29">
        <f t="shared" si="0"/>
        <v>4.1784394368811909E-3</v>
      </c>
    </row>
    <row r="30" spans="1:3" x14ac:dyDescent="0.85">
      <c r="A30">
        <v>177</v>
      </c>
      <c r="B30">
        <v>4.2978973726595501E-3</v>
      </c>
      <c r="C30">
        <f t="shared" si="0"/>
        <v>3.7608230748013664E-3</v>
      </c>
    </row>
    <row r="31" spans="1:3" x14ac:dyDescent="0.85">
      <c r="A31">
        <v>180</v>
      </c>
      <c r="B31">
        <v>3.6231314173545402E-3</v>
      </c>
      <c r="C31">
        <f t="shared" si="0"/>
        <v>3.3909416924536172E-3</v>
      </c>
    </row>
  </sheetData>
  <phoneticPr fontId="1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6E1C-1317-444F-9856-F554A77A956D}">
  <dimension ref="A1:C11"/>
  <sheetViews>
    <sheetView workbookViewId="0">
      <selection activeCell="C10" sqref="C1:C10"/>
    </sheetView>
  </sheetViews>
  <sheetFormatPr defaultRowHeight="17.7" x14ac:dyDescent="0.85"/>
  <sheetData>
    <row r="1" spans="1:3" x14ac:dyDescent="0.85">
      <c r="A1">
        <v>0</v>
      </c>
      <c r="B1">
        <v>0</v>
      </c>
      <c r="C1">
        <f>-0.0000041*A1^3+0.000367*A1^2+0.0006638*A1</f>
        <v>0</v>
      </c>
    </row>
    <row r="2" spans="1:3" x14ac:dyDescent="0.85">
      <c r="A2">
        <v>3</v>
      </c>
      <c r="B2">
        <v>6.3583715019126198E-3</v>
      </c>
      <c r="C2">
        <f t="shared" ref="C2:C11" si="0">-0.0000041*A2^3+0.000367*A2^2+0.0006638*A2</f>
        <v>5.1836999999999994E-3</v>
      </c>
    </row>
    <row r="3" spans="1:3" x14ac:dyDescent="0.85">
      <c r="A3">
        <v>6</v>
      </c>
      <c r="B3">
        <v>1.61254383095094E-2</v>
      </c>
      <c r="C3">
        <f t="shared" si="0"/>
        <v>1.6309199999999999E-2</v>
      </c>
    </row>
    <row r="4" spans="1:3" x14ac:dyDescent="0.85">
      <c r="A4">
        <v>9</v>
      </c>
      <c r="B4">
        <v>3.3993890930138902E-2</v>
      </c>
      <c r="C4">
        <f t="shared" si="0"/>
        <v>3.27123E-2</v>
      </c>
    </row>
    <row r="5" spans="1:3" x14ac:dyDescent="0.85">
      <c r="A5">
        <v>12</v>
      </c>
      <c r="B5">
        <v>5.1008531306623701E-2</v>
      </c>
      <c r="C5">
        <f t="shared" si="0"/>
        <v>5.3728799999999993E-2</v>
      </c>
    </row>
    <row r="6" spans="1:3" x14ac:dyDescent="0.85">
      <c r="A6">
        <v>15</v>
      </c>
      <c r="B6">
        <v>7.9959503556808295E-2</v>
      </c>
      <c r="C6">
        <f t="shared" si="0"/>
        <v>7.8694500000000001E-2</v>
      </c>
    </row>
    <row r="7" spans="1:3" x14ac:dyDescent="0.85">
      <c r="A7">
        <v>18</v>
      </c>
      <c r="B7">
        <v>0.10592540978793399</v>
      </c>
      <c r="C7">
        <f t="shared" si="0"/>
        <v>0.10694519999999999</v>
      </c>
    </row>
    <row r="8" spans="1:3" x14ac:dyDescent="0.85">
      <c r="A8">
        <v>21</v>
      </c>
      <c r="B8">
        <v>0.139990080363734</v>
      </c>
      <c r="C8">
        <f t="shared" si="0"/>
        <v>0.13781669999999999</v>
      </c>
    </row>
    <row r="9" spans="1:3" x14ac:dyDescent="0.85">
      <c r="A9">
        <v>24</v>
      </c>
      <c r="B9">
        <v>0.17022242634722501</v>
      </c>
      <c r="C9">
        <f t="shared" si="0"/>
        <v>0.17064480000000001</v>
      </c>
    </row>
    <row r="10" spans="1:3" x14ac:dyDescent="0.85">
      <c r="A10">
        <v>27</v>
      </c>
      <c r="C10">
        <f t="shared" si="0"/>
        <v>0.20476529999999998</v>
      </c>
    </row>
    <row r="11" spans="1:3" x14ac:dyDescent="0.85">
      <c r="A11">
        <v>30</v>
      </c>
      <c r="B11">
        <v>0.24005283831622001</v>
      </c>
      <c r="C11">
        <f t="shared" si="0"/>
        <v>0.239514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outlet</vt:lpstr>
      <vt:lpstr>hillside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Tsuyoshi Tada</dc:creator>
  <cp:lastModifiedBy>Tsuyoshi Tada</cp:lastModifiedBy>
  <dcterms:created xsi:type="dcterms:W3CDTF">2025-02-09T08:25:22Z</dcterms:created>
  <dcterms:modified xsi:type="dcterms:W3CDTF">2025-02-09T09:05:50Z</dcterms:modified>
</cp:coreProperties>
</file>