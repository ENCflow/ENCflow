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da\Desktop\"/>
    </mc:Choice>
  </mc:AlternateContent>
  <xr:revisionPtr revIDLastSave="0" documentId="13_ncr:1_{E64CC2F9-7438-45AD-ABD0-8247B5AF94F4}" xr6:coauthVersionLast="47" xr6:coauthVersionMax="47" xr10:uidLastSave="{00000000-0000-0000-0000-000000000000}"/>
  <bookViews>
    <workbookView xWindow="2660" yWindow="1240" windowWidth="22840" windowHeight="20360" xr2:uid="{A97D26A9-1261-449A-AE35-7738B126FC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6" i="1" s="1"/>
  <c r="H3" i="1"/>
  <c r="H6" i="1" s="1"/>
  <c r="C1" i="1"/>
  <c r="C3" i="1" s="1"/>
  <c r="C6" i="1" s="1"/>
  <c r="C8" i="1" s="1"/>
  <c r="D3" i="1"/>
  <c r="D6" i="1" s="1"/>
  <c r="D8" i="1" s="1"/>
  <c r="B3" i="1"/>
  <c r="B6" i="1" s="1"/>
  <c r="B8" i="1" s="1"/>
</calcChain>
</file>

<file path=xl/sharedStrings.xml><?xml version="1.0" encoding="utf-8"?>
<sst xmlns="http://schemas.openxmlformats.org/spreadsheetml/2006/main" count="11" uniqueCount="8">
  <si>
    <t>q</t>
    <phoneticPr fontId="1"/>
  </si>
  <si>
    <t>n</t>
    <phoneticPr fontId="1"/>
  </si>
  <si>
    <t>i</t>
    <phoneticPr fontId="1"/>
  </si>
  <si>
    <t>h</t>
    <phoneticPr fontId="1"/>
  </si>
  <si>
    <t>Q</t>
    <phoneticPr fontId="1"/>
  </si>
  <si>
    <t>B</t>
    <phoneticPr fontId="1"/>
  </si>
  <si>
    <t>h_analy</t>
    <phoneticPr fontId="1"/>
  </si>
  <si>
    <t>u_analy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</si>
</sst>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56468</xdr:colOff>
      <xdr:row>0</xdr:row>
      <xdr:rowOff>88900</xdr:rowOff>
    </xdr:from>
    <xdr:to>
      <xdr:col>11</xdr:col>
      <xdr:colOff>565240</xdr:colOff>
      <xdr:row>26</xdr:row>
      <xdr:rowOff>31750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493D19F-9F0B-4E52-B493-1953AFE2A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8468" y="88900"/>
          <a:ext cx="1829572" cy="588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5D1A-399A-40AD-91A7-C93A8CD69B28}">
  <dimension ref="A1:N26"/>
  <sheetViews>
    <sheetView tabSelected="1" workbookViewId="0">
      <selection activeCell="F10" sqref="F10"/>
    </sheetView>
  </sheetViews>
  <sheetFormatPr defaultRowHeight="18" x14ac:dyDescent="0.55000000000000004"/>
  <cols>
    <col min="4" max="4" width="9.4140625" bestFit="1" customWidth="1"/>
    <col min="5" max="5" width="9.4140625" customWidth="1"/>
  </cols>
  <sheetData>
    <row r="1" spans="1:14" x14ac:dyDescent="0.55000000000000004">
      <c r="A1" t="s">
        <v>4</v>
      </c>
      <c r="B1">
        <v>4.8600000000000003</v>
      </c>
      <c r="C1">
        <f>B1/2</f>
        <v>2.4300000000000002</v>
      </c>
      <c r="D1">
        <v>2.4</v>
      </c>
      <c r="G1" t="s">
        <v>4</v>
      </c>
      <c r="H1">
        <v>4.8600000000000003</v>
      </c>
      <c r="I1">
        <v>2.4</v>
      </c>
    </row>
    <row r="2" spans="1:14" x14ac:dyDescent="0.55000000000000004">
      <c r="A2" t="s">
        <v>5</v>
      </c>
      <c r="B2">
        <v>20</v>
      </c>
      <c r="C2">
        <v>20</v>
      </c>
      <c r="D2">
        <v>1000</v>
      </c>
      <c r="G2" t="s">
        <v>5</v>
      </c>
      <c r="H2">
        <v>20</v>
      </c>
      <c r="I2">
        <v>1000</v>
      </c>
    </row>
    <row r="3" spans="1:14" x14ac:dyDescent="0.55000000000000004">
      <c r="A3" t="s">
        <v>0</v>
      </c>
      <c r="B3">
        <f>B1/B2</f>
        <v>0.24300000000000002</v>
      </c>
      <c r="C3">
        <f>C1/C2</f>
        <v>0.12150000000000001</v>
      </c>
      <c r="D3">
        <f>D1/D2</f>
        <v>2.3999999999999998E-3</v>
      </c>
      <c r="G3" t="s">
        <v>0</v>
      </c>
      <c r="H3">
        <f>H1/H2</f>
        <v>0.24300000000000002</v>
      </c>
      <c r="I3">
        <f>I1/I2</f>
        <v>2.3999999999999998E-3</v>
      </c>
    </row>
    <row r="4" spans="1:14" x14ac:dyDescent="0.55000000000000004">
      <c r="A4" t="s">
        <v>1</v>
      </c>
      <c r="B4">
        <v>0.15</v>
      </c>
      <c r="C4">
        <v>0.15</v>
      </c>
      <c r="D4">
        <v>1.4999999999999999E-2</v>
      </c>
    </row>
    <row r="5" spans="1:14" x14ac:dyDescent="0.55000000000000004">
      <c r="A5" t="s">
        <v>2</v>
      </c>
      <c r="B5">
        <v>0.02</v>
      </c>
      <c r="C5">
        <v>0.02</v>
      </c>
      <c r="D5">
        <v>0.05</v>
      </c>
      <c r="G5" t="s">
        <v>6</v>
      </c>
      <c r="H5">
        <v>0.44330000000000003</v>
      </c>
      <c r="I5">
        <v>5.3E-3</v>
      </c>
      <c r="M5" s="1">
        <v>0.44330000000000003</v>
      </c>
      <c r="N5" s="1">
        <v>0.54816151590345141</v>
      </c>
    </row>
    <row r="6" spans="1:14" x14ac:dyDescent="0.55000000000000004">
      <c r="A6" t="s">
        <v>3</v>
      </c>
      <c r="B6">
        <f>(B3*B4/SQRT(B5))^(3/5)</f>
        <v>0.44331203422589543</v>
      </c>
      <c r="C6">
        <f>(C3*C4/SQRT(C5))^(3/5)</f>
        <v>0.29247686805094647</v>
      </c>
      <c r="D6">
        <f>(D3*D4/SQRT(D5))^(3/5)</f>
        <v>5.2977382772836697E-3</v>
      </c>
      <c r="G6" t="s">
        <v>7</v>
      </c>
      <c r="H6">
        <f>H3/H5</f>
        <v>0.54816151590345141</v>
      </c>
      <c r="I6">
        <f>I3/I5</f>
        <v>0.45283018867924524</v>
      </c>
      <c r="M6" s="1">
        <v>5.3E-3</v>
      </c>
      <c r="N6">
        <v>0.45283018867924524</v>
      </c>
    </row>
    <row r="8" spans="1:14" x14ac:dyDescent="0.55000000000000004">
      <c r="B8">
        <f>B6*SQRT(2)</f>
        <v>0.62693789116546705</v>
      </c>
      <c r="C8">
        <f>C6*SQRT(2)</f>
        <v>0.41362475347805472</v>
      </c>
      <c r="D8">
        <f>D6*SQRT(2)</f>
        <v>7.4921333216376425E-3</v>
      </c>
    </row>
    <row r="9" spans="1:14" x14ac:dyDescent="0.55000000000000004">
      <c r="M9" s="1">
        <v>0.44330000000000003</v>
      </c>
      <c r="N9" s="1">
        <v>0.54816151590345141</v>
      </c>
    </row>
    <row r="10" spans="1:14" x14ac:dyDescent="0.55000000000000004">
      <c r="M10" s="1">
        <v>5.3E-3</v>
      </c>
      <c r="N10">
        <v>0.45283018867924524</v>
      </c>
    </row>
    <row r="13" spans="1:14" x14ac:dyDescent="0.55000000000000004">
      <c r="M13" s="1">
        <v>0.44330000000000003</v>
      </c>
      <c r="N13" s="1">
        <v>0.54816151590345141</v>
      </c>
    </row>
    <row r="14" spans="1:14" x14ac:dyDescent="0.55000000000000004">
      <c r="M14" s="1">
        <v>5.3E-3</v>
      </c>
      <c r="N14">
        <v>0.45283018867924524</v>
      </c>
    </row>
    <row r="17" spans="13:14" x14ac:dyDescent="0.55000000000000004">
      <c r="M17" s="1">
        <v>0.44330000000000003</v>
      </c>
      <c r="N17" s="1">
        <v>0.54816151590345141</v>
      </c>
    </row>
    <row r="18" spans="13:14" x14ac:dyDescent="0.55000000000000004">
      <c r="M18" s="1">
        <v>5.3E-3</v>
      </c>
      <c r="N18">
        <v>0.45283018867924524</v>
      </c>
    </row>
    <row r="21" spans="13:14" x14ac:dyDescent="0.55000000000000004">
      <c r="M21" s="1">
        <v>0.44330000000000003</v>
      </c>
      <c r="N21" s="1">
        <v>0.54816151590345141</v>
      </c>
    </row>
    <row r="22" spans="13:14" x14ac:dyDescent="0.55000000000000004">
      <c r="M22" s="1">
        <v>5.3E-3</v>
      </c>
      <c r="N22">
        <v>0.45283018867924524</v>
      </c>
    </row>
    <row r="25" spans="13:14" x14ac:dyDescent="0.55000000000000004">
      <c r="M25" s="1">
        <v>0.44330000000000003</v>
      </c>
      <c r="N25" s="1">
        <v>0.54816151590345141</v>
      </c>
    </row>
    <row r="26" spans="13:14" x14ac:dyDescent="0.55000000000000004">
      <c r="M26" s="1">
        <v>5.3E-3</v>
      </c>
      <c r="N26">
        <v>0.45283018867924524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多田　毅</dc:creator>
  <cp:lastModifiedBy>多田　毅</cp:lastModifiedBy>
  <dcterms:created xsi:type="dcterms:W3CDTF">2025-02-10T02:27:27Z</dcterms:created>
  <dcterms:modified xsi:type="dcterms:W3CDTF">2025-02-10T05:57:50Z</dcterms:modified>
</cp:coreProperties>
</file>